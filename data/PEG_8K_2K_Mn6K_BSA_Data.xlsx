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Abu Dhabi/Science/AUC/Binodals/Final/"/>
    </mc:Choice>
  </mc:AlternateContent>
  <xr:revisionPtr revIDLastSave="0" documentId="8_{22E6D5AA-2462-724A-B8FE-18D992D5588F}" xr6:coauthVersionLast="47" xr6:coauthVersionMax="47" xr10:uidLastSave="{00000000-0000-0000-0000-000000000000}"/>
  <bookViews>
    <workbookView xWindow="8400" yWindow="1460" windowWidth="23240" windowHeight="13160" activeTab="2" xr2:uid="{07FD07AF-03A3-45F4-8668-52EFCD3CA59E}"/>
  </bookViews>
  <sheets>
    <sheet name="8K+2K" sheetId="2" r:id="rId1"/>
    <sheet name="Sheet1" sheetId="3" r:id="rId2"/>
    <sheet name="PEG-2K8KK pH-7, 200 mM Salt_8K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<sst xmlns="http://schemas.openxmlformats.org/spreadsheetml/2006/main" count="16" uniqueCount="16">
  <si>
    <t>PEG 8K + 2K, Mn=6K, pH-7.0, 200mM Salt(Replicate 1)</t>
  </si>
  <si>
    <t>M1</t>
  </si>
  <si>
    <t>M2</t>
  </si>
  <si>
    <t>M3</t>
  </si>
  <si>
    <t>M4</t>
  </si>
  <si>
    <t>S1</t>
  </si>
  <si>
    <t>S2</t>
  </si>
  <si>
    <t>S3</t>
  </si>
  <si>
    <t>S4</t>
  </si>
  <si>
    <t>P1</t>
  </si>
  <si>
    <t>P2</t>
  </si>
  <si>
    <t>P3</t>
  </si>
  <si>
    <t>P4</t>
  </si>
  <si>
    <t>CP</t>
  </si>
  <si>
    <t>BSA conc (g/L)</t>
  </si>
  <si>
    <t>PEG conc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</si>
</sst>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3E0F-9A44-4BA3-A569-6C73725FABF8}">
  <dimension ref="B2:G27"/>
  <sheetViews>
    <sheetView workbookViewId="0">
      <selection activeCell="F13" sqref="F13:F17"/>
    </sheetView>
  </sheetViews>
  <sheetFormatPr baseColWidth="10" defaultColWidth="8.83203125" defaultRowHeight="15" x14ac:dyDescent="0.2"/>
  <cols>
    <col min="3" max="3" width="13.83203125" customWidth="1"/>
    <col min="4" max="4" width="12.33203125" customWidth="1"/>
  </cols>
  <sheetData>
    <row r="2" spans="2:6" x14ac:dyDescent="0.2">
      <c r="B2" t="s">
        <v>0</v>
      </c>
    </row>
    <row r="4" spans="2:6" x14ac:dyDescent="0.2">
      <c r="C4" s="1" t="s">
        <v>14</v>
      </c>
      <c r="D4" s="1" t="s">
        <v>15</v>
      </c>
    </row>
    <row r="5" spans="2:6" x14ac:dyDescent="0.2">
      <c r="B5" t="s">
        <v>1</v>
      </c>
      <c r="C5">
        <v>216.4</v>
      </c>
      <c r="D5">
        <v>100.9</v>
      </c>
      <c r="E5">
        <f t="shared" ref="E5:E17" si="0">D5*8/9</f>
        <v>89.688888888888897</v>
      </c>
      <c r="F5">
        <v>89.7</v>
      </c>
    </row>
    <row r="6" spans="2:6" x14ac:dyDescent="0.2">
      <c r="B6" t="s">
        <v>2</v>
      </c>
      <c r="C6">
        <v>209.9</v>
      </c>
      <c r="D6">
        <v>97.4</v>
      </c>
      <c r="E6">
        <f t="shared" si="0"/>
        <v>86.577777777777783</v>
      </c>
      <c r="F6">
        <v>86.6</v>
      </c>
    </row>
    <row r="7" spans="2:6" x14ac:dyDescent="0.2">
      <c r="B7" t="s">
        <v>3</v>
      </c>
      <c r="C7">
        <v>203.5</v>
      </c>
      <c r="D7">
        <v>90.7</v>
      </c>
      <c r="E7">
        <f t="shared" si="0"/>
        <v>80.62222222222222</v>
      </c>
      <c r="F7">
        <v>80.599999999999994</v>
      </c>
    </row>
    <row r="8" spans="2:6" x14ac:dyDescent="0.2">
      <c r="B8" t="s">
        <v>4</v>
      </c>
      <c r="C8">
        <v>187.4</v>
      </c>
      <c r="D8">
        <v>88.3</v>
      </c>
      <c r="E8">
        <f t="shared" si="0"/>
        <v>78.48888888888888</v>
      </c>
      <c r="F8">
        <v>78.5</v>
      </c>
    </row>
    <row r="9" spans="2:6" x14ac:dyDescent="0.2">
      <c r="B9" t="s">
        <v>5</v>
      </c>
      <c r="C9">
        <v>7.9</v>
      </c>
      <c r="D9">
        <v>198.6</v>
      </c>
      <c r="E9">
        <f t="shared" si="0"/>
        <v>176.53333333333333</v>
      </c>
      <c r="F9">
        <v>176.5</v>
      </c>
    </row>
    <row r="10" spans="2:6" x14ac:dyDescent="0.2">
      <c r="B10" t="s">
        <v>6</v>
      </c>
      <c r="C10">
        <v>32.1</v>
      </c>
      <c r="D10">
        <v>169.9</v>
      </c>
      <c r="E10">
        <f t="shared" si="0"/>
        <v>151.02222222222224</v>
      </c>
      <c r="F10">
        <v>151</v>
      </c>
    </row>
    <row r="11" spans="2:6" x14ac:dyDescent="0.2">
      <c r="B11" t="s">
        <v>7</v>
      </c>
      <c r="C11">
        <v>47.3</v>
      </c>
      <c r="D11">
        <v>149.6</v>
      </c>
      <c r="E11">
        <f t="shared" si="0"/>
        <v>132.97777777777776</v>
      </c>
      <c r="F11">
        <v>133</v>
      </c>
    </row>
    <row r="12" spans="2:6" x14ac:dyDescent="0.2">
      <c r="B12" t="s">
        <v>8</v>
      </c>
      <c r="C12">
        <v>74.2</v>
      </c>
      <c r="D12">
        <v>137.4</v>
      </c>
      <c r="E12">
        <f t="shared" si="0"/>
        <v>122.13333333333334</v>
      </c>
      <c r="F12">
        <v>122.1</v>
      </c>
    </row>
    <row r="13" spans="2:6" x14ac:dyDescent="0.2">
      <c r="B13" t="s">
        <v>9</v>
      </c>
      <c r="C13">
        <v>403.5</v>
      </c>
      <c r="D13">
        <v>24.6</v>
      </c>
      <c r="E13">
        <f t="shared" si="0"/>
        <v>21.866666666666667</v>
      </c>
      <c r="F13">
        <v>21.9</v>
      </c>
    </row>
    <row r="14" spans="2:6" x14ac:dyDescent="0.2">
      <c r="B14" t="s">
        <v>10</v>
      </c>
      <c r="C14">
        <v>372.1</v>
      </c>
      <c r="D14">
        <v>30.6</v>
      </c>
      <c r="E14">
        <f t="shared" si="0"/>
        <v>27.200000000000003</v>
      </c>
      <c r="F14">
        <v>27.2</v>
      </c>
    </row>
    <row r="15" spans="2:6" x14ac:dyDescent="0.2">
      <c r="B15" t="s">
        <v>11</v>
      </c>
      <c r="C15">
        <v>338.2</v>
      </c>
      <c r="D15">
        <v>37.6</v>
      </c>
      <c r="E15">
        <f t="shared" si="0"/>
        <v>33.422222222222224</v>
      </c>
      <c r="F15">
        <v>33.4</v>
      </c>
    </row>
    <row r="16" spans="2:6" x14ac:dyDescent="0.2">
      <c r="B16" t="s">
        <v>12</v>
      </c>
      <c r="C16">
        <v>304.3</v>
      </c>
      <c r="D16">
        <v>46.1</v>
      </c>
      <c r="E16">
        <f t="shared" si="0"/>
        <v>40.977777777777781</v>
      </c>
      <c r="F16">
        <v>41</v>
      </c>
    </row>
    <row r="17" spans="2:7" x14ac:dyDescent="0.2">
      <c r="B17" t="s">
        <v>13</v>
      </c>
      <c r="C17">
        <v>179.3</v>
      </c>
      <c r="D17">
        <v>87.8</v>
      </c>
      <c r="E17">
        <f t="shared" si="0"/>
        <v>78.044444444444437</v>
      </c>
      <c r="F17">
        <v>78</v>
      </c>
    </row>
    <row r="21" spans="2:7" x14ac:dyDescent="0.2">
      <c r="G21" s="1"/>
    </row>
    <row r="27" spans="2:7" x14ac:dyDescent="0.2">
      <c r="G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923B-E3DA-7B4C-B5FF-6141B2CCB58B}">
  <dimension ref="A1:P4"/>
  <sheetViews>
    <sheetView workbookViewId="0">
      <selection activeCell="B1" sqref="B1"/>
    </sheetView>
  </sheetViews>
  <sheetFormatPr baseColWidth="10" defaultRowHeight="15" x14ac:dyDescent="0.2"/>
  <sheetData>
    <row r="1" spans="1:16" x14ac:dyDescent="0.2">
      <c r="A1">
        <v>216.4</v>
      </c>
      <c r="B1">
        <v>0</v>
      </c>
      <c r="C1">
        <v>7.9</v>
      </c>
      <c r="D1">
        <v>0</v>
      </c>
      <c r="E1">
        <v>403.5</v>
      </c>
      <c r="F1">
        <v>0</v>
      </c>
      <c r="G1">
        <v>100.9</v>
      </c>
      <c r="H1">
        <v>0</v>
      </c>
      <c r="I1">
        <v>198.6</v>
      </c>
      <c r="J1">
        <v>0</v>
      </c>
      <c r="K1">
        <v>24.6</v>
      </c>
      <c r="L1">
        <v>0</v>
      </c>
      <c r="M1">
        <v>179.3</v>
      </c>
      <c r="N1">
        <v>0</v>
      </c>
      <c r="O1">
        <v>87.8</v>
      </c>
      <c r="P1">
        <v>0</v>
      </c>
    </row>
    <row r="2" spans="1:16" x14ac:dyDescent="0.2">
      <c r="A2">
        <v>209.9</v>
      </c>
      <c r="B2">
        <v>0</v>
      </c>
      <c r="C2">
        <v>32.1</v>
      </c>
      <c r="D2">
        <v>0</v>
      </c>
      <c r="E2">
        <v>372.1</v>
      </c>
      <c r="F2">
        <v>0</v>
      </c>
      <c r="G2">
        <v>97.4</v>
      </c>
      <c r="H2">
        <v>0</v>
      </c>
      <c r="I2">
        <v>169.9</v>
      </c>
      <c r="J2">
        <v>0</v>
      </c>
      <c r="K2">
        <v>30.6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203.5</v>
      </c>
      <c r="B3">
        <v>0</v>
      </c>
      <c r="C3">
        <v>47.3</v>
      </c>
      <c r="D3">
        <v>0</v>
      </c>
      <c r="E3">
        <v>338.2</v>
      </c>
      <c r="F3">
        <v>0</v>
      </c>
      <c r="G3">
        <v>90.7</v>
      </c>
      <c r="H3">
        <v>0</v>
      </c>
      <c r="I3">
        <v>149.6</v>
      </c>
      <c r="J3">
        <v>0</v>
      </c>
      <c r="K3">
        <v>37.6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187.4</v>
      </c>
      <c r="B4">
        <v>0</v>
      </c>
      <c r="C4">
        <v>74.2</v>
      </c>
      <c r="D4">
        <v>0</v>
      </c>
      <c r="E4">
        <v>304.3</v>
      </c>
      <c r="F4">
        <v>0</v>
      </c>
      <c r="G4">
        <v>88.3</v>
      </c>
      <c r="H4">
        <v>0</v>
      </c>
      <c r="I4">
        <v>137.4</v>
      </c>
      <c r="J4">
        <v>0</v>
      </c>
      <c r="K4">
        <v>46.1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6A3E-4600-3A45-9BAA-AC9F9425012C}">
  <dimension ref="A1:P4"/>
  <sheetViews>
    <sheetView tabSelected="1" workbookViewId="0">
      <selection activeCell="O2" sqref="O2"/>
    </sheetView>
  </sheetViews>
  <sheetFormatPr baseColWidth="10" defaultRowHeight="15" x14ac:dyDescent="0.2"/>
  <sheetData>
    <row r="1" spans="1:16" x14ac:dyDescent="0.2">
      <c r="A1">
        <v>216.4</v>
      </c>
      <c r="B1">
        <v>0</v>
      </c>
      <c r="C1">
        <v>7.9</v>
      </c>
      <c r="D1">
        <v>0</v>
      </c>
      <c r="E1">
        <v>403.5</v>
      </c>
      <c r="F1">
        <v>0</v>
      </c>
      <c r="G1">
        <v>89.7</v>
      </c>
      <c r="H1">
        <v>0</v>
      </c>
      <c r="I1">
        <v>176.5</v>
      </c>
      <c r="J1">
        <v>0</v>
      </c>
      <c r="K1">
        <v>21.9</v>
      </c>
      <c r="L1">
        <v>0</v>
      </c>
      <c r="M1">
        <v>179.3</v>
      </c>
      <c r="N1">
        <v>0</v>
      </c>
      <c r="O1">
        <v>68</v>
      </c>
      <c r="P1">
        <v>0</v>
      </c>
    </row>
    <row r="2" spans="1:16" x14ac:dyDescent="0.2">
      <c r="A2">
        <v>209.9</v>
      </c>
      <c r="B2">
        <v>0</v>
      </c>
      <c r="C2">
        <v>32.1</v>
      </c>
      <c r="D2">
        <v>0</v>
      </c>
      <c r="E2">
        <v>372.1</v>
      </c>
      <c r="F2">
        <v>0</v>
      </c>
      <c r="G2">
        <v>86.6</v>
      </c>
      <c r="H2">
        <v>0</v>
      </c>
      <c r="I2">
        <v>151</v>
      </c>
      <c r="J2">
        <v>0</v>
      </c>
      <c r="K2">
        <v>27.2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203.5</v>
      </c>
      <c r="B3">
        <v>0</v>
      </c>
      <c r="C3">
        <v>47.3</v>
      </c>
      <c r="D3">
        <v>0</v>
      </c>
      <c r="E3">
        <v>338.2</v>
      </c>
      <c r="F3">
        <v>0</v>
      </c>
      <c r="G3">
        <v>80.599999999999994</v>
      </c>
      <c r="H3">
        <v>0</v>
      </c>
      <c r="I3">
        <v>133</v>
      </c>
      <c r="J3">
        <v>0</v>
      </c>
      <c r="K3">
        <v>33.4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187.4</v>
      </c>
      <c r="B4">
        <v>0</v>
      </c>
      <c r="C4">
        <v>74.2</v>
      </c>
      <c r="D4">
        <v>0</v>
      </c>
      <c r="E4">
        <v>304.3</v>
      </c>
      <c r="F4">
        <v>0</v>
      </c>
      <c r="G4">
        <v>78.5</v>
      </c>
      <c r="H4">
        <v>0</v>
      </c>
      <c r="I4">
        <v>122.1</v>
      </c>
      <c r="J4">
        <v>0</v>
      </c>
      <c r="K4">
        <v>41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8K+2K</vt:lpstr>
      <vt:lpstr>Sheet1</vt:lpstr>
      <vt:lpstr>PEG-2K8KK pH-7, 200 mM Salt_8Km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2026-03-16T19:28:48Z</dcterms:modified>
</cp:coreProperties>
</file>