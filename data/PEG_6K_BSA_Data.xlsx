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bane/Library/CloudStorage/Dropbox/Progemine/Scripts/GFVT/data/"/>
    </mc:Choice>
  </mc:AlternateContent>
  <xr:revisionPtr revIDLastSave="0" documentId="13_ncr:1_{94ADEB09-E76F-A54F-851C-D0E56AFBBB9E}" xr6:coauthVersionLast="47" xr6:coauthVersionMax="47" xr10:uidLastSave="{00000000-0000-0000-0000-000000000000}"/>
  <bookViews>
    <workbookView xWindow="0" yWindow="600" windowWidth="27420" windowHeight="17640" firstSheet="1" activeTab="5" xr2:uid="{2254DE5E-D54F-4749-ACAA-1E56A2692683}"/>
  </bookViews>
  <sheets>
    <sheet name="R1-PEG Conc" sheetId="1" r:id="rId1"/>
    <sheet name="R2-PEG Conc" sheetId="4" r:id="rId2"/>
    <sheet name="R3-PEG Conc" sheetId="5" r:id="rId3"/>
    <sheet name="BSA conc (3 replicates)" sheetId="6" r:id="rId4"/>
    <sheet name="Average and SD" sheetId="7" r:id="rId5"/>
    <sheet name="New_PEG-6K pH- 7, 200 mM Salt_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5" l="1"/>
  <c r="S7" i="5"/>
  <c r="S8" i="5"/>
  <c r="S9" i="5"/>
  <c r="S11" i="5"/>
  <c r="S12" i="5"/>
  <c r="S13" i="5"/>
  <c r="S14" i="5"/>
  <c r="S15" i="5"/>
  <c r="S17" i="5"/>
  <c r="S18" i="5"/>
  <c r="S19" i="5"/>
  <c r="S20" i="5"/>
  <c r="S21" i="5"/>
  <c r="S23" i="5"/>
  <c r="S5" i="5"/>
  <c r="R6" i="5"/>
  <c r="R7" i="5"/>
  <c r="R8" i="5"/>
  <c r="R9" i="5"/>
  <c r="R11" i="5"/>
  <c r="R12" i="5"/>
  <c r="R13" i="5"/>
  <c r="R14" i="5"/>
  <c r="R15" i="5"/>
  <c r="R17" i="5"/>
  <c r="R18" i="5"/>
  <c r="R19" i="5"/>
  <c r="R20" i="5"/>
  <c r="R21" i="5"/>
  <c r="R23" i="5"/>
  <c r="R5" i="5"/>
  <c r="E65" i="6"/>
  <c r="E64" i="6"/>
  <c r="E63" i="6"/>
  <c r="N53" i="6"/>
  <c r="I53" i="6"/>
  <c r="E53" i="6"/>
  <c r="N52" i="6"/>
  <c r="N54" i="6" s="1"/>
  <c r="I52" i="6"/>
  <c r="E52" i="6"/>
  <c r="N51" i="6"/>
  <c r="I51" i="6"/>
  <c r="E51" i="6"/>
  <c r="N42" i="6"/>
  <c r="I42" i="6"/>
  <c r="E42" i="6"/>
  <c r="N41" i="6"/>
  <c r="I41" i="6"/>
  <c r="E41" i="6"/>
  <c r="N40" i="6"/>
  <c r="I40" i="6"/>
  <c r="E40" i="6"/>
  <c r="N30" i="6"/>
  <c r="I30" i="6"/>
  <c r="E30" i="6"/>
  <c r="N29" i="6"/>
  <c r="I29" i="6"/>
  <c r="E29" i="6"/>
  <c r="N28" i="6"/>
  <c r="I28" i="6"/>
  <c r="E28" i="6"/>
  <c r="N19" i="6"/>
  <c r="N21" i="6" s="1"/>
  <c r="I19" i="6"/>
  <c r="E19" i="6"/>
  <c r="N18" i="6"/>
  <c r="I18" i="6"/>
  <c r="E18" i="6"/>
  <c r="N17" i="6"/>
  <c r="I17" i="6"/>
  <c r="E17" i="6"/>
  <c r="N8" i="6"/>
  <c r="I8" i="6"/>
  <c r="E8" i="6"/>
  <c r="N7" i="6"/>
  <c r="I7" i="6"/>
  <c r="E7" i="6"/>
  <c r="N6" i="6"/>
  <c r="I6" i="6"/>
  <c r="I9" i="6" s="1"/>
  <c r="E6" i="6"/>
  <c r="J57" i="5"/>
  <c r="L57" i="5" s="1"/>
  <c r="M57" i="5" s="1"/>
  <c r="G57" i="5"/>
  <c r="F57" i="5"/>
  <c r="E57" i="5"/>
  <c r="J51" i="5"/>
  <c r="L51" i="5" s="1"/>
  <c r="M51" i="5" s="1"/>
  <c r="G51" i="5"/>
  <c r="F51" i="5"/>
  <c r="E51" i="5"/>
  <c r="J50" i="5"/>
  <c r="L50" i="5" s="1"/>
  <c r="M50" i="5" s="1"/>
  <c r="G50" i="5"/>
  <c r="F50" i="5" s="1"/>
  <c r="J49" i="5"/>
  <c r="L49" i="5" s="1"/>
  <c r="M49" i="5" s="1"/>
  <c r="G49" i="5"/>
  <c r="F49" i="5"/>
  <c r="E49" i="5"/>
  <c r="J44" i="5"/>
  <c r="L44" i="5" s="1"/>
  <c r="M44" i="5" s="1"/>
  <c r="G44" i="5"/>
  <c r="F44" i="5"/>
  <c r="E44" i="5"/>
  <c r="J43" i="5"/>
  <c r="L43" i="5" s="1"/>
  <c r="M43" i="5" s="1"/>
  <c r="G43" i="5"/>
  <c r="F43" i="5"/>
  <c r="E43" i="5"/>
  <c r="J42" i="5"/>
  <c r="G42" i="5"/>
  <c r="F42" i="5" s="1"/>
  <c r="J35" i="5"/>
  <c r="L35" i="5" s="1"/>
  <c r="M35" i="5" s="1"/>
  <c r="G35" i="5"/>
  <c r="F35" i="5"/>
  <c r="E35" i="5"/>
  <c r="J34" i="5"/>
  <c r="L34" i="5" s="1"/>
  <c r="M34" i="5" s="1"/>
  <c r="G34" i="5"/>
  <c r="F34" i="5"/>
  <c r="E34" i="5"/>
  <c r="J33" i="5"/>
  <c r="L33" i="5" s="1"/>
  <c r="M33" i="5" s="1"/>
  <c r="G33" i="5"/>
  <c r="F33" i="5"/>
  <c r="E33" i="5"/>
  <c r="J21" i="5"/>
  <c r="G21" i="5"/>
  <c r="F21" i="5" s="1"/>
  <c r="J20" i="5"/>
  <c r="L20" i="5" s="1"/>
  <c r="M20" i="5" s="1"/>
  <c r="G20" i="5"/>
  <c r="F20" i="5"/>
  <c r="E20" i="5"/>
  <c r="J19" i="5"/>
  <c r="L19" i="5" s="1"/>
  <c r="M19" i="5" s="1"/>
  <c r="G19" i="5"/>
  <c r="F19" i="5"/>
  <c r="E19" i="5"/>
  <c r="J8" i="5"/>
  <c r="L8" i="5" s="1"/>
  <c r="M8" i="5" s="1"/>
  <c r="G8" i="5"/>
  <c r="F8" i="5"/>
  <c r="E8" i="5"/>
  <c r="J7" i="5"/>
  <c r="G7" i="5"/>
  <c r="F7" i="5" s="1"/>
  <c r="J6" i="5"/>
  <c r="L6" i="5" s="1"/>
  <c r="M6" i="5" s="1"/>
  <c r="G6" i="5"/>
  <c r="F6" i="5"/>
  <c r="E6" i="5"/>
  <c r="C2" i="5"/>
  <c r="E50" i="5" s="1"/>
  <c r="J57" i="4"/>
  <c r="L57" i="4" s="1"/>
  <c r="M57" i="4" s="1"/>
  <c r="G57" i="4"/>
  <c r="F57" i="4"/>
  <c r="E57" i="4"/>
  <c r="J51" i="4"/>
  <c r="L51" i="4" s="1"/>
  <c r="M51" i="4" s="1"/>
  <c r="G51" i="4"/>
  <c r="F51" i="4"/>
  <c r="E51" i="4"/>
  <c r="J50" i="4"/>
  <c r="L50" i="4" s="1"/>
  <c r="M50" i="4" s="1"/>
  <c r="G50" i="4"/>
  <c r="F50" i="4"/>
  <c r="E50" i="4"/>
  <c r="J49" i="4"/>
  <c r="G49" i="4"/>
  <c r="F49" i="4" s="1"/>
  <c r="J44" i="4"/>
  <c r="L44" i="4" s="1"/>
  <c r="M44" i="4" s="1"/>
  <c r="G44" i="4"/>
  <c r="F44" i="4"/>
  <c r="E44" i="4"/>
  <c r="J43" i="4"/>
  <c r="L43" i="4" s="1"/>
  <c r="M43" i="4" s="1"/>
  <c r="G43" i="4"/>
  <c r="F43" i="4"/>
  <c r="E43" i="4"/>
  <c r="J42" i="4"/>
  <c r="L42" i="4" s="1"/>
  <c r="M42" i="4" s="1"/>
  <c r="G42" i="4"/>
  <c r="F42" i="4"/>
  <c r="E42" i="4"/>
  <c r="J35" i="4"/>
  <c r="G35" i="4"/>
  <c r="F35" i="4" s="1"/>
  <c r="J34" i="4"/>
  <c r="L34" i="4" s="1"/>
  <c r="M34" i="4" s="1"/>
  <c r="G34" i="4"/>
  <c r="F34" i="4"/>
  <c r="E34" i="4"/>
  <c r="J33" i="4"/>
  <c r="L33" i="4" s="1"/>
  <c r="M33" i="4" s="1"/>
  <c r="G33" i="4"/>
  <c r="F33" i="4"/>
  <c r="E33" i="4"/>
  <c r="J21" i="4"/>
  <c r="L21" i="4" s="1"/>
  <c r="M21" i="4" s="1"/>
  <c r="G21" i="4"/>
  <c r="F21" i="4"/>
  <c r="E21" i="4"/>
  <c r="J20" i="4"/>
  <c r="G20" i="4"/>
  <c r="F20" i="4" s="1"/>
  <c r="J19" i="4"/>
  <c r="L19" i="4" s="1"/>
  <c r="M19" i="4" s="1"/>
  <c r="G19" i="4"/>
  <c r="F19" i="4"/>
  <c r="E19" i="4"/>
  <c r="J8" i="4"/>
  <c r="L8" i="4" s="1"/>
  <c r="M8" i="4" s="1"/>
  <c r="G8" i="4"/>
  <c r="F8" i="4"/>
  <c r="E8" i="4"/>
  <c r="J7" i="4"/>
  <c r="L7" i="4" s="1"/>
  <c r="M7" i="4" s="1"/>
  <c r="G7" i="4"/>
  <c r="F7" i="4"/>
  <c r="E7" i="4"/>
  <c r="J6" i="4"/>
  <c r="G6" i="4"/>
  <c r="F6" i="4" s="1"/>
  <c r="C2" i="4"/>
  <c r="E49" i="4" s="1"/>
  <c r="J51" i="1"/>
  <c r="G51" i="1"/>
  <c r="F51" i="1" s="1"/>
  <c r="J50" i="1"/>
  <c r="G50" i="1"/>
  <c r="F50" i="1" s="1"/>
  <c r="E50" i="1"/>
  <c r="J49" i="1"/>
  <c r="L49" i="1" s="1"/>
  <c r="M49" i="1" s="1"/>
  <c r="G49" i="1"/>
  <c r="F49" i="1"/>
  <c r="E49" i="1"/>
  <c r="J44" i="1"/>
  <c r="G44" i="1"/>
  <c r="F44" i="1" s="1"/>
  <c r="J43" i="1"/>
  <c r="L43" i="1" s="1"/>
  <c r="M43" i="1" s="1"/>
  <c r="G43" i="1"/>
  <c r="F43" i="1"/>
  <c r="E43" i="1"/>
  <c r="J42" i="1"/>
  <c r="G42" i="1"/>
  <c r="E42" i="1" s="1"/>
  <c r="F42" i="1"/>
  <c r="J35" i="1"/>
  <c r="G35" i="1"/>
  <c r="F35" i="1" s="1"/>
  <c r="J21" i="1"/>
  <c r="G21" i="1"/>
  <c r="F21" i="1" s="1"/>
  <c r="J8" i="1"/>
  <c r="L8" i="1" s="1"/>
  <c r="M8" i="1" s="1"/>
  <c r="G8" i="1"/>
  <c r="F8" i="1"/>
  <c r="E8" i="1"/>
  <c r="J57" i="1"/>
  <c r="G57" i="1"/>
  <c r="F57" i="1" s="1"/>
  <c r="J34" i="1"/>
  <c r="G34" i="1"/>
  <c r="F34" i="1" s="1"/>
  <c r="J33" i="1"/>
  <c r="G33" i="1"/>
  <c r="F33" i="1" s="1"/>
  <c r="J20" i="1"/>
  <c r="G20" i="1"/>
  <c r="F20" i="1" s="1"/>
  <c r="J19" i="1"/>
  <c r="G19" i="1"/>
  <c r="F19" i="1" s="1"/>
  <c r="J7" i="1"/>
  <c r="G7" i="1"/>
  <c r="F7" i="1" s="1"/>
  <c r="J6" i="1"/>
  <c r="G6" i="1"/>
  <c r="F6" i="1" s="1"/>
  <c r="C2" i="1"/>
  <c r="E21" i="6" l="1"/>
  <c r="I21" i="6"/>
  <c r="N9" i="6"/>
  <c r="N20" i="6"/>
  <c r="I44" i="6"/>
  <c r="I10" i="6"/>
  <c r="N55" i="6"/>
  <c r="E67" i="6"/>
  <c r="I32" i="6"/>
  <c r="N32" i="6"/>
  <c r="I43" i="6"/>
  <c r="N10" i="6"/>
  <c r="N44" i="6"/>
  <c r="I54" i="6"/>
  <c r="E10" i="6"/>
  <c r="E31" i="6"/>
  <c r="E54" i="6"/>
  <c r="E66" i="6"/>
  <c r="E43" i="6"/>
  <c r="E32" i="6"/>
  <c r="E20" i="6"/>
  <c r="I31" i="6"/>
  <c r="N43" i="6"/>
  <c r="E55" i="6"/>
  <c r="E9" i="6"/>
  <c r="I20" i="6"/>
  <c r="N31" i="6"/>
  <c r="E44" i="6"/>
  <c r="I55" i="6"/>
  <c r="E7" i="5"/>
  <c r="L7" i="5" s="1"/>
  <c r="M7" i="5" s="1"/>
  <c r="E21" i="5"/>
  <c r="L21" i="5" s="1"/>
  <c r="M21" i="5" s="1"/>
  <c r="E42" i="5"/>
  <c r="L42" i="5" s="1"/>
  <c r="M42" i="5" s="1"/>
  <c r="L49" i="4"/>
  <c r="M49" i="4" s="1"/>
  <c r="E6" i="4"/>
  <c r="L6" i="4" s="1"/>
  <c r="M6" i="4" s="1"/>
  <c r="E20" i="4"/>
  <c r="L20" i="4" s="1"/>
  <c r="M20" i="4" s="1"/>
  <c r="E35" i="4"/>
  <c r="L35" i="4" s="1"/>
  <c r="M35" i="4" s="1"/>
  <c r="L50" i="1"/>
  <c r="M50" i="1" s="1"/>
  <c r="L51" i="1"/>
  <c r="M51" i="1" s="1"/>
  <c r="E51" i="1"/>
  <c r="L42" i="1"/>
  <c r="M42" i="1" s="1"/>
  <c r="E44" i="1"/>
  <c r="L44" i="1" s="1"/>
  <c r="M44" i="1" s="1"/>
  <c r="E35" i="1"/>
  <c r="L35" i="1" s="1"/>
  <c r="M35" i="1" s="1"/>
  <c r="E21" i="1"/>
  <c r="L21" i="1" s="1"/>
  <c r="M21" i="1" s="1"/>
  <c r="E6" i="1"/>
  <c r="E34" i="1"/>
  <c r="L34" i="1" s="1"/>
  <c r="M34" i="1" s="1"/>
  <c r="E19" i="1"/>
  <c r="L19" i="1" s="1"/>
  <c r="M19" i="1" s="1"/>
  <c r="L6" i="1"/>
  <c r="M6" i="1" s="1"/>
  <c r="E20" i="1"/>
  <c r="L20" i="1" s="1"/>
  <c r="M20" i="1" s="1"/>
  <c r="E33" i="1"/>
  <c r="L33" i="1" s="1"/>
  <c r="M33" i="1" s="1"/>
  <c r="E57" i="1"/>
  <c r="L57" i="1"/>
  <c r="M57" i="1" s="1"/>
  <c r="E7" i="1"/>
  <c r="L7" i="1" s="1"/>
  <c r="M7" i="1" s="1"/>
</calcChain>
</file>

<file path=xl/sharedStrings.xml><?xml version="1.0" encoding="utf-8"?>
<sst xmlns="http://schemas.openxmlformats.org/spreadsheetml/2006/main" count="422" uniqueCount="60">
  <si>
    <t>DMF Stock (mg/mL):</t>
  </si>
  <si>
    <t>DMF MW (g/mol)</t>
  </si>
  <si>
    <t>DMF Stock (mM)</t>
  </si>
  <si>
    <t>Mol. Factor</t>
  </si>
  <si>
    <r>
      <t>Sample (</t>
    </r>
    <r>
      <rPr>
        <sz val="12"/>
        <color theme="0"/>
        <rFont val="Calibri (Body)"/>
      </rPr>
      <t>µL)</t>
    </r>
  </si>
  <si>
    <t>D2O (µL)</t>
  </si>
  <si>
    <t>DMF Stock (µL)</t>
  </si>
  <si>
    <t>DMF 1 (mM)</t>
  </si>
  <si>
    <t>Dilution (X)</t>
  </si>
  <si>
    <t>Total (µL)</t>
  </si>
  <si>
    <t>PEG Peak</t>
  </si>
  <si>
    <t>DMF Peak</t>
  </si>
  <si>
    <t>PEG Intensity</t>
  </si>
  <si>
    <t>Prior Dilution</t>
  </si>
  <si>
    <t>PEG (g/L)</t>
  </si>
  <si>
    <t>PEG (% w/v)</t>
  </si>
  <si>
    <t>Critical point</t>
  </si>
  <si>
    <t xml:space="preserve">SUPERNATANT </t>
  </si>
  <si>
    <t xml:space="preserve">PELLET </t>
  </si>
  <si>
    <t>Absorbance</t>
  </si>
  <si>
    <t>Concentration (mg/ml)</t>
  </si>
  <si>
    <t>Dilution Factor</t>
  </si>
  <si>
    <t xml:space="preserve">MIXTURE </t>
  </si>
  <si>
    <t>CP</t>
  </si>
  <si>
    <t xml:space="preserve">PEG-6K pH-7 </t>
  </si>
  <si>
    <t>S1</t>
  </si>
  <si>
    <t>S2</t>
  </si>
  <si>
    <t>PEG-6K, pH-7.0, 200mM</t>
  </si>
  <si>
    <t>PEG-6K, 200 mM salt, pH-7.0 data</t>
  </si>
  <si>
    <t>Mix</t>
  </si>
  <si>
    <t>Sup</t>
  </si>
  <si>
    <t>Pel</t>
  </si>
  <si>
    <t>R1</t>
  </si>
  <si>
    <t>R2</t>
  </si>
  <si>
    <t>R3</t>
  </si>
  <si>
    <t>PEG-6K, pH-7.0</t>
  </si>
  <si>
    <t xml:space="preserve"> S1</t>
  </si>
  <si>
    <t>BSA(mg/ml)</t>
  </si>
  <si>
    <t>PEG(mg/ml)</t>
  </si>
  <si>
    <t>Average</t>
  </si>
  <si>
    <t>SD</t>
  </si>
  <si>
    <t>Mix-S1</t>
  </si>
  <si>
    <t>Mix-S2</t>
  </si>
  <si>
    <t>Mix-S3</t>
  </si>
  <si>
    <t>Mix-S4</t>
  </si>
  <si>
    <t>Mix-S5</t>
  </si>
  <si>
    <t>Sup-S1</t>
  </si>
  <si>
    <t>Sup-S2</t>
  </si>
  <si>
    <t>Sup-S3</t>
  </si>
  <si>
    <t>Sup-S4</t>
  </si>
  <si>
    <t>Sup-S5</t>
  </si>
  <si>
    <t>Pellet-S1</t>
  </si>
  <si>
    <t>Pellet-S2</t>
  </si>
  <si>
    <t>Pellet-S3</t>
  </si>
  <si>
    <t>Pellet-S4</t>
  </si>
  <si>
    <t>Pellet-S5</t>
  </si>
  <si>
    <t>Av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</si>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</sst>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Calibri (Body)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2" borderId="0" applyNumberFormat="0" applyBorder="0" applyAlignment="0" applyProtection="0"/>
    <xf numFmtId="0" fontId="2" fillId="3" borderId="0" applyNumberFormat="0" applyBorder="0" applyAlignment="0" applyProtection="0"/>
  </cellStyleXfs>
  <cellXfs count="17">
    <xf numFmtId="0" fontId="0" fillId="0" borderId="0" xfId="0"/>
    <xf numFmtId="0" fontId="2" fillId="0" borderId="0" xfId="1"/>
    <xf numFmtId="1" fontId="2" fillId="0" borderId="0" xfId="1" applyNumberFormat="1"/>
    <xf numFmtId="0" fontId="3" fillId="4" borderId="0" xfId="1" applyFont="1" applyFill="1"/>
    <xf numFmtId="0" fontId="2" fillId="4" borderId="0" xfId="1" applyFill="1"/>
    <xf numFmtId="0" fontId="4" fillId="2" borderId="0" xfId="2"/>
    <xf numFmtId="0" fontId="0" fillId="3" borderId="0" xfId="3" applyFont="1"/>
    <xf numFmtId="0" fontId="2" fillId="3" borderId="0" xfId="3"/>
    <xf numFmtId="2" fontId="2" fillId="3" borderId="0" xfId="3" applyNumberFormat="1"/>
    <xf numFmtId="0" fontId="6" fillId="0" borderId="0" xfId="1" applyFont="1"/>
    <xf numFmtId="2" fontId="2" fillId="0" borderId="0" xfId="1" applyNumberFormat="1"/>
    <xf numFmtId="164" fontId="2" fillId="0" borderId="0" xfId="1" applyNumberFormat="1"/>
    <xf numFmtId="1" fontId="3" fillId="0" borderId="0" xfId="1" applyNumberFormat="1" applyFont="1"/>
    <xf numFmtId="165" fontId="2" fillId="0" borderId="0" xfId="1" applyNumberFormat="1"/>
    <xf numFmtId="0" fontId="1" fillId="0" borderId="0" xfId="0" applyFont="1"/>
    <xf numFmtId="0" fontId="3" fillId="0" borderId="0" xfId="1" applyFont="1"/>
    <xf numFmtId="164" fontId="0" fillId="0" borderId="0" xfId="0" applyNumberFormat="1"/>
  </cellXfs>
  <cellStyles count="4">
    <cellStyle name="20% - Accent1 2" xfId="3" xr:uid="{2773FFE7-F328-42C0-8214-98DEB97D2242}"/>
    <cellStyle name="Accent1 2" xfId="2" xr:uid="{FBDFB4DB-8517-4C8D-A005-CB136D29DF79}"/>
    <cellStyle name="Normal" xfId="0" builtinId="0"/>
    <cellStyle name="Normal 2" xfId="1" xr:uid="{B515AD66-42C1-4D41-9F36-9FB798705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3D6B-09F5-4B2D-8B75-BEFB6E291D09}">
  <dimension ref="A1:M57"/>
  <sheetViews>
    <sheetView topLeftCell="A29" zoomScale="63" workbookViewId="0">
      <selection activeCell="A4" sqref="A4:A57"/>
    </sheetView>
  </sheetViews>
  <sheetFormatPr baseColWidth="10" defaultColWidth="11.33203125" defaultRowHeight="16" x14ac:dyDescent="0.2"/>
  <cols>
    <col min="1" max="1" width="19.33203125" style="1" bestFit="1" customWidth="1"/>
    <col min="2" max="2" width="16.6640625" style="1" bestFit="1" customWidth="1"/>
    <col min="3" max="3" width="15.83203125" style="1" bestFit="1" customWidth="1"/>
    <col min="4" max="4" width="14.1640625" style="1" bestFit="1" customWidth="1"/>
    <col min="5" max="5" width="13.1640625" style="1" customWidth="1"/>
    <col min="6" max="6" width="10.83203125" style="1" bestFit="1" customWidth="1"/>
    <col min="7" max="8" width="9.33203125" style="1" bestFit="1" customWidth="1"/>
    <col min="9" max="9" width="9.83203125" style="1" bestFit="1" customWidth="1"/>
    <col min="10" max="10" width="12.6640625" style="1" bestFit="1" customWidth="1"/>
    <col min="11" max="11" width="12.5" style="1" bestFit="1" customWidth="1"/>
    <col min="12" max="12" width="10.6640625" style="1" customWidth="1"/>
    <col min="13" max="13" width="12.83203125" style="1" bestFit="1" customWidth="1"/>
    <col min="14" max="16384" width="11.3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2">
      <c r="A2" s="1">
        <v>1000</v>
      </c>
      <c r="B2" s="1">
        <v>73.09</v>
      </c>
      <c r="C2" s="2">
        <f>1000*A2/B2</f>
        <v>13681.762210972773</v>
      </c>
      <c r="D2" s="1">
        <v>11.3</v>
      </c>
    </row>
    <row r="3" spans="1:13" x14ac:dyDescent="0.2">
      <c r="A3" s="1" t="s">
        <v>28</v>
      </c>
    </row>
    <row r="4" spans="1:13" x14ac:dyDescent="0.2">
      <c r="A4" s="14" t="s">
        <v>25</v>
      </c>
      <c r="B4" s="4"/>
    </row>
    <row r="5" spans="1:13" x14ac:dyDescent="0.2">
      <c r="A5" s="5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</row>
    <row r="6" spans="1:13" x14ac:dyDescent="0.2">
      <c r="A6" s="6" t="s">
        <v>29</v>
      </c>
      <c r="B6" s="7">
        <v>100</v>
      </c>
      <c r="C6" s="7">
        <v>400</v>
      </c>
      <c r="D6" s="7">
        <v>100</v>
      </c>
      <c r="E6" s="8">
        <f>D6*$C$2/G6</f>
        <v>2280.2937018287953</v>
      </c>
      <c r="F6" s="7">
        <f>G6/B6</f>
        <v>6</v>
      </c>
      <c r="G6" s="7">
        <f>SUM(B6:D6)</f>
        <v>600</v>
      </c>
      <c r="H6" s="9">
        <v>1</v>
      </c>
      <c r="I6" s="1">
        <v>8.02</v>
      </c>
      <c r="J6" s="10">
        <f>H6*6/I6</f>
        <v>0.74812967581047385</v>
      </c>
      <c r="K6" s="11">
        <v>1</v>
      </c>
      <c r="L6" s="12">
        <f>(J6*F6)*$D$2*(E6/1000)*K6</f>
        <v>115.6637752997449</v>
      </c>
      <c r="M6" s="13">
        <f>L6/10</f>
        <v>11.56637752997449</v>
      </c>
    </row>
    <row r="7" spans="1:13" x14ac:dyDescent="0.2">
      <c r="A7" s="6" t="s">
        <v>30</v>
      </c>
      <c r="B7" s="7">
        <v>100</v>
      </c>
      <c r="C7" s="7">
        <v>400</v>
      </c>
      <c r="D7" s="7">
        <v>100</v>
      </c>
      <c r="E7" s="8">
        <f>D7*$C$2/G7</f>
        <v>2280.2937018287953</v>
      </c>
      <c r="F7" s="7">
        <f>G7/B7</f>
        <v>6</v>
      </c>
      <c r="G7" s="7">
        <f>SUM(B7:D7)</f>
        <v>600</v>
      </c>
      <c r="H7" s="9">
        <v>1</v>
      </c>
      <c r="I7" s="1">
        <v>4.1399999999999997</v>
      </c>
      <c r="J7" s="10">
        <f>H7*6/I7</f>
        <v>1.4492753623188408</v>
      </c>
      <c r="K7" s="11">
        <v>1</v>
      </c>
      <c r="L7" s="12">
        <f>(J7*F7)*$D$2*(E7/1000)*K7</f>
        <v>224.06364200578605</v>
      </c>
      <c r="M7" s="13">
        <f>L7/10</f>
        <v>22.406364200578604</v>
      </c>
    </row>
    <row r="8" spans="1:13" x14ac:dyDescent="0.2">
      <c r="A8" s="6" t="s">
        <v>31</v>
      </c>
      <c r="B8" s="7">
        <v>100</v>
      </c>
      <c r="C8" s="7">
        <v>400</v>
      </c>
      <c r="D8" s="7">
        <v>100</v>
      </c>
      <c r="E8" s="8">
        <f>D8*$C$2/G8</f>
        <v>2280.2937018287953</v>
      </c>
      <c r="F8" s="7">
        <f>G8/B8</f>
        <v>6</v>
      </c>
      <c r="G8" s="7">
        <f>SUM(B8:D8)</f>
        <v>600</v>
      </c>
      <c r="H8" s="9">
        <v>1</v>
      </c>
      <c r="I8" s="1">
        <v>77.37</v>
      </c>
      <c r="J8" s="10">
        <f>H8*6/I8</f>
        <v>7.754943776657619E-2</v>
      </c>
      <c r="K8" s="11">
        <v>1</v>
      </c>
      <c r="L8" s="12">
        <f>(J8*F8)*$D$2*(E8/1000)*K8</f>
        <v>11.989446528421274</v>
      </c>
      <c r="M8" s="13">
        <f>L8/10</f>
        <v>1.1989446528421275</v>
      </c>
    </row>
    <row r="16" spans="1:13" x14ac:dyDescent="0.2">
      <c r="A16" s="14" t="s">
        <v>26</v>
      </c>
    </row>
    <row r="17" spans="1:13" x14ac:dyDescent="0.2">
      <c r="A17" s="3"/>
    </row>
    <row r="18" spans="1:13" x14ac:dyDescent="0.2">
      <c r="A18" s="5"/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</row>
    <row r="19" spans="1:13" x14ac:dyDescent="0.2">
      <c r="A19" s="6" t="s">
        <v>29</v>
      </c>
      <c r="B19" s="7">
        <v>100</v>
      </c>
      <c r="C19" s="7">
        <v>400</v>
      </c>
      <c r="D19" s="7">
        <v>100</v>
      </c>
      <c r="E19" s="8">
        <f>D19*$C$2/G19</f>
        <v>2280.2937018287953</v>
      </c>
      <c r="F19" s="7">
        <f>G19/B19</f>
        <v>6</v>
      </c>
      <c r="G19" s="7">
        <f>SUM(B19:D19)</f>
        <v>600</v>
      </c>
      <c r="H19" s="9">
        <v>1</v>
      </c>
      <c r="I19" s="1">
        <v>8.32</v>
      </c>
      <c r="J19" s="10">
        <f>H19*6/I19</f>
        <v>0.72115384615384615</v>
      </c>
      <c r="K19" s="11">
        <v>1</v>
      </c>
      <c r="L19" s="12">
        <f>(J19*F19)*$D$2*(E19/1000)*K19</f>
        <v>111.49320647884062</v>
      </c>
      <c r="M19" s="13">
        <f>L19/10</f>
        <v>11.149320647884062</v>
      </c>
    </row>
    <row r="20" spans="1:13" x14ac:dyDescent="0.2">
      <c r="A20" s="6" t="s">
        <v>30</v>
      </c>
      <c r="B20" s="7">
        <v>100</v>
      </c>
      <c r="C20" s="7">
        <v>400</v>
      </c>
      <c r="D20" s="7">
        <v>100</v>
      </c>
      <c r="E20" s="8">
        <f>D20*$C$2/G20</f>
        <v>2280.2937018287953</v>
      </c>
      <c r="F20" s="7">
        <f>G20/B20</f>
        <v>6</v>
      </c>
      <c r="G20" s="7">
        <f>SUM(B20:D20)</f>
        <v>600</v>
      </c>
      <c r="H20" s="9">
        <v>1</v>
      </c>
      <c r="I20" s="1">
        <v>4.6500000000000004</v>
      </c>
      <c r="J20" s="10">
        <f>H20*6/I20</f>
        <v>1.2903225806451613</v>
      </c>
      <c r="K20" s="11">
        <v>1</v>
      </c>
      <c r="L20" s="12">
        <f>(J20*F20)*$D$2*(E20/1000)*K20</f>
        <v>199.48891997934498</v>
      </c>
      <c r="M20" s="13">
        <f>L20/10</f>
        <v>19.948891997934499</v>
      </c>
    </row>
    <row r="21" spans="1:13" x14ac:dyDescent="0.2">
      <c r="A21" s="6" t="s">
        <v>31</v>
      </c>
      <c r="B21" s="7">
        <v>100</v>
      </c>
      <c r="C21" s="7">
        <v>400</v>
      </c>
      <c r="D21" s="7">
        <v>100</v>
      </c>
      <c r="E21" s="8">
        <f>D21*$C$2/G21</f>
        <v>2280.2937018287953</v>
      </c>
      <c r="F21" s="7">
        <f>G21/B21</f>
        <v>6</v>
      </c>
      <c r="G21" s="7">
        <f>SUM(B21:D21)</f>
        <v>600</v>
      </c>
      <c r="H21" s="9">
        <v>1</v>
      </c>
      <c r="I21" s="1">
        <v>62.13</v>
      </c>
      <c r="J21" s="10">
        <f>H21*6/I21</f>
        <v>9.6571704490584248E-2</v>
      </c>
      <c r="K21" s="11">
        <v>1</v>
      </c>
      <c r="L21" s="12">
        <f>(J21*F21)*$D$2*(E21/1000)*K21</f>
        <v>14.930363397778107</v>
      </c>
      <c r="M21" s="13">
        <f>L21/10</f>
        <v>1.4930363397778108</v>
      </c>
    </row>
    <row r="30" spans="1:13" x14ac:dyDescent="0.2">
      <c r="A30" s="14" t="s">
        <v>57</v>
      </c>
    </row>
    <row r="31" spans="1:13" x14ac:dyDescent="0.2">
      <c r="A31" s="3"/>
    </row>
    <row r="32" spans="1:13" x14ac:dyDescent="0.2">
      <c r="A32" s="5"/>
      <c r="B32" s="5" t="s">
        <v>4</v>
      </c>
      <c r="C32" s="5" t="s">
        <v>5</v>
      </c>
      <c r="D32" s="5" t="s">
        <v>6</v>
      </c>
      <c r="E32" s="5" t="s">
        <v>7</v>
      </c>
      <c r="F32" s="5" t="s">
        <v>8</v>
      </c>
      <c r="G32" s="5" t="s">
        <v>9</v>
      </c>
      <c r="H32" s="5" t="s">
        <v>10</v>
      </c>
      <c r="I32" s="5" t="s">
        <v>11</v>
      </c>
      <c r="J32" s="5" t="s">
        <v>12</v>
      </c>
      <c r="K32" s="5" t="s">
        <v>13</v>
      </c>
      <c r="L32" s="5" t="s">
        <v>14</v>
      </c>
      <c r="M32" s="5" t="s">
        <v>15</v>
      </c>
    </row>
    <row r="33" spans="1:13" x14ac:dyDescent="0.2">
      <c r="A33" s="6" t="s">
        <v>29</v>
      </c>
      <c r="B33" s="7">
        <v>100</v>
      </c>
      <c r="C33" s="7">
        <v>400</v>
      </c>
      <c r="D33" s="7">
        <v>100</v>
      </c>
      <c r="E33" s="8">
        <f>D33*$C$2/G33</f>
        <v>2280.2937018287953</v>
      </c>
      <c r="F33" s="7">
        <f>G33/B33</f>
        <v>6</v>
      </c>
      <c r="G33" s="7">
        <f>SUM(B33:D33)</f>
        <v>600</v>
      </c>
      <c r="H33" s="9">
        <v>1</v>
      </c>
      <c r="I33" s="1">
        <v>8.9</v>
      </c>
      <c r="J33" s="10">
        <f>H33*6/I33</f>
        <v>0.6741573033707865</v>
      </c>
      <c r="K33" s="11">
        <v>1</v>
      </c>
      <c r="L33" s="12">
        <f>(J33*F33)*$D$2*(E33/1000)*K33</f>
        <v>104.22735706786</v>
      </c>
      <c r="M33" s="13">
        <f>L33/10</f>
        <v>10.422735706786</v>
      </c>
    </row>
    <row r="34" spans="1:13" x14ac:dyDescent="0.2">
      <c r="A34" s="6" t="s">
        <v>30</v>
      </c>
      <c r="B34" s="7">
        <v>100</v>
      </c>
      <c r="C34" s="7">
        <v>400</v>
      </c>
      <c r="D34" s="7">
        <v>100</v>
      </c>
      <c r="E34" s="8">
        <f>D34*$C$2/G34</f>
        <v>2280.2937018287953</v>
      </c>
      <c r="F34" s="7">
        <f>G34/B34</f>
        <v>6</v>
      </c>
      <c r="G34" s="7">
        <f>SUM(B34:D34)</f>
        <v>600</v>
      </c>
      <c r="H34" s="9">
        <v>1</v>
      </c>
      <c r="I34" s="1">
        <v>5.03</v>
      </c>
      <c r="J34" s="10">
        <f>H34*6/I34</f>
        <v>1.1928429423459244</v>
      </c>
      <c r="K34" s="11">
        <v>1</v>
      </c>
      <c r="L34" s="12">
        <f>(J34*F34)*$D$2*(E34/1000)*K34</f>
        <v>184.41818646201867</v>
      </c>
      <c r="M34" s="13">
        <f>L34/10</f>
        <v>18.441818646201867</v>
      </c>
    </row>
    <row r="35" spans="1:13" x14ac:dyDescent="0.2">
      <c r="A35" s="6" t="s">
        <v>31</v>
      </c>
      <c r="B35" s="7">
        <v>100</v>
      </c>
      <c r="C35" s="7">
        <v>400</v>
      </c>
      <c r="D35" s="7">
        <v>100</v>
      </c>
      <c r="E35" s="8">
        <f>D35*$C$2/G35</f>
        <v>2280.2937018287953</v>
      </c>
      <c r="F35" s="7">
        <f>G35/B35</f>
        <v>6</v>
      </c>
      <c r="G35" s="7">
        <f>SUM(B35:D35)</f>
        <v>600</v>
      </c>
      <c r="H35" s="9">
        <v>1</v>
      </c>
      <c r="I35" s="1">
        <v>50.54</v>
      </c>
      <c r="J35" s="10">
        <f>H35*6/I35</f>
        <v>0.1187178472497032</v>
      </c>
      <c r="K35" s="11">
        <v>1</v>
      </c>
      <c r="L35" s="12">
        <f>(J35*F35)*$D$2*(E35/1000)*K35</f>
        <v>18.354243725840011</v>
      </c>
      <c r="M35" s="13">
        <f>L35/10</f>
        <v>1.8354243725840012</v>
      </c>
    </row>
    <row r="39" spans="1:13" x14ac:dyDescent="0.2">
      <c r="A39" s="14" t="s">
        <v>58</v>
      </c>
    </row>
    <row r="40" spans="1:13" x14ac:dyDescent="0.2">
      <c r="A40" s="3"/>
    </row>
    <row r="41" spans="1:13" x14ac:dyDescent="0.2">
      <c r="A41" s="5"/>
      <c r="B41" s="5" t="s">
        <v>4</v>
      </c>
      <c r="C41" s="5" t="s">
        <v>5</v>
      </c>
      <c r="D41" s="5" t="s">
        <v>6</v>
      </c>
      <c r="E41" s="5" t="s">
        <v>7</v>
      </c>
      <c r="F41" s="5" t="s">
        <v>8</v>
      </c>
      <c r="G41" s="5" t="s">
        <v>9</v>
      </c>
      <c r="H41" s="5" t="s">
        <v>10</v>
      </c>
      <c r="I41" s="5" t="s">
        <v>11</v>
      </c>
      <c r="J41" s="5" t="s">
        <v>12</v>
      </c>
      <c r="K41" s="5" t="s">
        <v>13</v>
      </c>
      <c r="L41" s="5" t="s">
        <v>14</v>
      </c>
      <c r="M41" s="5" t="s">
        <v>15</v>
      </c>
    </row>
    <row r="42" spans="1:13" x14ac:dyDescent="0.2">
      <c r="A42" s="6" t="s">
        <v>29</v>
      </c>
      <c r="B42" s="7">
        <v>100</v>
      </c>
      <c r="C42" s="7">
        <v>400</v>
      </c>
      <c r="D42" s="7">
        <v>100</v>
      </c>
      <c r="E42" s="8">
        <f>D42*$C$2/G42</f>
        <v>2280.2937018287953</v>
      </c>
      <c r="F42" s="7">
        <f>G42/B42</f>
        <v>6</v>
      </c>
      <c r="G42" s="7">
        <f>SUM(B42:D42)</f>
        <v>600</v>
      </c>
      <c r="H42" s="9">
        <v>1</v>
      </c>
      <c r="I42" s="1">
        <v>9.1199999999999992</v>
      </c>
      <c r="J42" s="10">
        <f>H42*6/I42</f>
        <v>0.65789473684210531</v>
      </c>
      <c r="K42" s="11">
        <v>1</v>
      </c>
      <c r="L42" s="12">
        <f>(J42*F42)*$D$2*(E42/1000)*K42</f>
        <v>101.71310064736338</v>
      </c>
      <c r="M42" s="13">
        <f>L42/10</f>
        <v>10.171310064736337</v>
      </c>
    </row>
    <row r="43" spans="1:13" x14ac:dyDescent="0.2">
      <c r="A43" s="6" t="s">
        <v>30</v>
      </c>
      <c r="B43" s="7">
        <v>100</v>
      </c>
      <c r="C43" s="7">
        <v>400</v>
      </c>
      <c r="D43" s="7">
        <v>100</v>
      </c>
      <c r="E43" s="8">
        <f>D43*$C$2/G43</f>
        <v>2280.2937018287953</v>
      </c>
      <c r="F43" s="7">
        <f>G43/B43</f>
        <v>6</v>
      </c>
      <c r="G43" s="7">
        <f>SUM(B43:D43)</f>
        <v>600</v>
      </c>
      <c r="H43" s="9">
        <v>1</v>
      </c>
      <c r="I43" s="1">
        <v>5.07</v>
      </c>
      <c r="J43" s="10">
        <f>H43*6/I43</f>
        <v>1.1834319526627217</v>
      </c>
      <c r="K43" s="11">
        <v>1</v>
      </c>
      <c r="L43" s="12">
        <f>(J43*F43)*$D$2*(E43/1000)*K43</f>
        <v>182.96321063194358</v>
      </c>
      <c r="M43" s="13">
        <f>L43/10</f>
        <v>18.296321063194359</v>
      </c>
    </row>
    <row r="44" spans="1:13" x14ac:dyDescent="0.2">
      <c r="A44" s="6" t="s">
        <v>31</v>
      </c>
      <c r="B44" s="7">
        <v>100</v>
      </c>
      <c r="C44" s="7">
        <v>400</v>
      </c>
      <c r="D44" s="7">
        <v>100</v>
      </c>
      <c r="E44" s="8">
        <f>D44*$C$2/G44</f>
        <v>2280.2937018287953</v>
      </c>
      <c r="F44" s="7">
        <f>G44/B44</f>
        <v>6</v>
      </c>
      <c r="G44" s="7">
        <f>SUM(B44:D44)</f>
        <v>600</v>
      </c>
      <c r="H44" s="9">
        <v>1</v>
      </c>
      <c r="I44" s="1">
        <v>48.8</v>
      </c>
      <c r="J44" s="10">
        <f>H44*6/I44</f>
        <v>0.12295081967213116</v>
      </c>
      <c r="K44" s="11">
        <v>1</v>
      </c>
      <c r="L44" s="12">
        <f>(J44*F44)*$D$2*(E44/1000)*K44</f>
        <v>19.008677825900698</v>
      </c>
      <c r="M44" s="13">
        <f>L44/10</f>
        <v>1.9008677825900697</v>
      </c>
    </row>
    <row r="46" spans="1:13" x14ac:dyDescent="0.2">
      <c r="A46" s="14" t="s">
        <v>59</v>
      </c>
    </row>
    <row r="47" spans="1:13" x14ac:dyDescent="0.2">
      <c r="A47" s="3"/>
    </row>
    <row r="48" spans="1:13" x14ac:dyDescent="0.2">
      <c r="A48" s="5"/>
      <c r="B48" s="5" t="s">
        <v>4</v>
      </c>
      <c r="C48" s="5" t="s">
        <v>5</v>
      </c>
      <c r="D48" s="5" t="s">
        <v>6</v>
      </c>
      <c r="E48" s="5" t="s">
        <v>7</v>
      </c>
      <c r="F48" s="5" t="s">
        <v>8</v>
      </c>
      <c r="G48" s="5" t="s">
        <v>9</v>
      </c>
      <c r="H48" s="5" t="s">
        <v>10</v>
      </c>
      <c r="I48" s="5" t="s">
        <v>11</v>
      </c>
      <c r="J48" s="5" t="s">
        <v>12</v>
      </c>
      <c r="K48" s="5" t="s">
        <v>13</v>
      </c>
      <c r="L48" s="5" t="s">
        <v>14</v>
      </c>
      <c r="M48" s="5" t="s">
        <v>15</v>
      </c>
    </row>
    <row r="49" spans="1:13" x14ac:dyDescent="0.2">
      <c r="A49" s="6" t="s">
        <v>29</v>
      </c>
      <c r="B49" s="7">
        <v>100</v>
      </c>
      <c r="C49" s="7">
        <v>400</v>
      </c>
      <c r="D49" s="7">
        <v>100</v>
      </c>
      <c r="E49" s="8">
        <f>D49*$C$2/G49</f>
        <v>2280.2937018287953</v>
      </c>
      <c r="F49" s="7">
        <f>G49/B49</f>
        <v>6</v>
      </c>
      <c r="G49" s="7">
        <f>SUM(B49:D49)</f>
        <v>600</v>
      </c>
      <c r="H49" s="9">
        <v>1</v>
      </c>
      <c r="I49" s="1">
        <v>9.15</v>
      </c>
      <c r="J49" s="10">
        <f>H49*6/I49</f>
        <v>0.65573770491803274</v>
      </c>
      <c r="K49" s="11">
        <v>1</v>
      </c>
      <c r="L49" s="12">
        <f>(J49*F49)*$D$2*(E49/1000)*K49</f>
        <v>101.37961507147038</v>
      </c>
      <c r="M49" s="13">
        <f>L49/10</f>
        <v>10.137961507147038</v>
      </c>
    </row>
    <row r="50" spans="1:13" x14ac:dyDescent="0.2">
      <c r="A50" s="6" t="s">
        <v>30</v>
      </c>
      <c r="B50" s="7">
        <v>100</v>
      </c>
      <c r="C50" s="7">
        <v>400</v>
      </c>
      <c r="D50" s="7">
        <v>100</v>
      </c>
      <c r="E50" s="8">
        <f>D50*$C$2/G50</f>
        <v>2280.2937018287953</v>
      </c>
      <c r="F50" s="7">
        <f>G50/B50</f>
        <v>6</v>
      </c>
      <c r="G50" s="7">
        <f>SUM(B50:D50)</f>
        <v>600</v>
      </c>
      <c r="H50" s="9">
        <v>1</v>
      </c>
      <c r="I50" s="1">
        <v>5.8</v>
      </c>
      <c r="J50" s="10">
        <f>H50*6/I50</f>
        <v>1.0344827586206897</v>
      </c>
      <c r="K50" s="11">
        <v>1</v>
      </c>
      <c r="L50" s="12">
        <f>(J50*F50)*$D$2*(E50/1000)*K50</f>
        <v>159.93508239723349</v>
      </c>
      <c r="M50" s="13">
        <f>L50/10</f>
        <v>15.993508239723349</v>
      </c>
    </row>
    <row r="51" spans="1:13" x14ac:dyDescent="0.2">
      <c r="A51" s="6" t="s">
        <v>31</v>
      </c>
      <c r="B51" s="7">
        <v>100</v>
      </c>
      <c r="C51" s="7">
        <v>400</v>
      </c>
      <c r="D51" s="7">
        <v>100</v>
      </c>
      <c r="E51" s="8">
        <f>D51*$C$2/G51</f>
        <v>2280.2937018287953</v>
      </c>
      <c r="F51" s="7">
        <f>G51/B51</f>
        <v>6</v>
      </c>
      <c r="G51" s="7">
        <f>SUM(B51:D51)</f>
        <v>600</v>
      </c>
      <c r="H51" s="9">
        <v>1</v>
      </c>
      <c r="I51" s="1">
        <v>32.630000000000003</v>
      </c>
      <c r="J51" s="10">
        <f>H51*6/I51</f>
        <v>0.18387986515476554</v>
      </c>
      <c r="K51" s="11">
        <v>1</v>
      </c>
      <c r="L51" s="12">
        <f>(J51*F51)*$D$2*(E51/1000)*K51</f>
        <v>28.428546671895617</v>
      </c>
      <c r="M51" s="13">
        <f>L51/10</f>
        <v>2.8428546671895618</v>
      </c>
    </row>
    <row r="55" spans="1:13" x14ac:dyDescent="0.2">
      <c r="A55" s="3" t="s">
        <v>16</v>
      </c>
    </row>
    <row r="56" spans="1:13" x14ac:dyDescent="0.2">
      <c r="A56" s="5"/>
      <c r="B56" s="5" t="s">
        <v>4</v>
      </c>
      <c r="C56" s="5" t="s">
        <v>5</v>
      </c>
      <c r="D56" s="5" t="s">
        <v>6</v>
      </c>
      <c r="E56" s="5" t="s">
        <v>7</v>
      </c>
      <c r="F56" s="5" t="s">
        <v>8</v>
      </c>
      <c r="G56" s="5" t="s">
        <v>9</v>
      </c>
      <c r="H56" s="5" t="s">
        <v>10</v>
      </c>
      <c r="I56" s="5" t="s">
        <v>11</v>
      </c>
      <c r="J56" s="5" t="s">
        <v>12</v>
      </c>
      <c r="K56" s="5" t="s">
        <v>13</v>
      </c>
      <c r="L56" s="5" t="s">
        <v>14</v>
      </c>
      <c r="M56" s="5" t="s">
        <v>15</v>
      </c>
    </row>
    <row r="57" spans="1:13" x14ac:dyDescent="0.2">
      <c r="A57" s="6" t="s">
        <v>24</v>
      </c>
      <c r="B57" s="7">
        <v>100</v>
      </c>
      <c r="C57" s="7">
        <v>400</v>
      </c>
      <c r="D57" s="7">
        <v>100</v>
      </c>
      <c r="E57" s="8">
        <f>D57*$C$2/G57</f>
        <v>2280.2937018287953</v>
      </c>
      <c r="F57" s="7">
        <f>G57/B57</f>
        <v>6</v>
      </c>
      <c r="G57" s="7">
        <f>SUM(B57:D57)</f>
        <v>600</v>
      </c>
      <c r="H57" s="9">
        <v>1</v>
      </c>
      <c r="I57" s="1">
        <v>10.14</v>
      </c>
      <c r="J57" s="10">
        <f>H57*6/I57</f>
        <v>0.59171597633136086</v>
      </c>
      <c r="K57" s="11">
        <v>1</v>
      </c>
      <c r="L57" s="12">
        <f>(J57*F57)*$D$2*(E57/1000)*K57</f>
        <v>91.481605315971791</v>
      </c>
      <c r="M57" s="13">
        <f>L57/10</f>
        <v>9.1481605315971795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E9E6-F09B-480A-9997-0A0733A30F85}">
  <dimension ref="A1:M57"/>
  <sheetViews>
    <sheetView topLeftCell="A40" zoomScale="63" workbookViewId="0">
      <selection activeCell="D55" sqref="D55"/>
    </sheetView>
  </sheetViews>
  <sheetFormatPr baseColWidth="10" defaultColWidth="11.33203125" defaultRowHeight="16" x14ac:dyDescent="0.2"/>
  <cols>
    <col min="1" max="1" width="19.33203125" style="1" bestFit="1" customWidth="1"/>
    <col min="2" max="2" width="16.6640625" style="1" bestFit="1" customWidth="1"/>
    <col min="3" max="3" width="15.83203125" style="1" bestFit="1" customWidth="1"/>
    <col min="4" max="4" width="14.1640625" style="1" bestFit="1" customWidth="1"/>
    <col min="5" max="5" width="13.1640625" style="1" customWidth="1"/>
    <col min="6" max="6" width="10.83203125" style="1" bestFit="1" customWidth="1"/>
    <col min="7" max="8" width="9.33203125" style="1" bestFit="1" customWidth="1"/>
    <col min="9" max="9" width="9.83203125" style="1" bestFit="1" customWidth="1"/>
    <col min="10" max="10" width="12.6640625" style="1" bestFit="1" customWidth="1"/>
    <col min="11" max="11" width="12.5" style="1" bestFit="1" customWidth="1"/>
    <col min="12" max="12" width="10.6640625" style="1" customWidth="1"/>
    <col min="13" max="13" width="12.83203125" style="1" bestFit="1" customWidth="1"/>
    <col min="14" max="16384" width="11.3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2">
      <c r="A2" s="1">
        <v>1000</v>
      </c>
      <c r="B2" s="1">
        <v>73.09</v>
      </c>
      <c r="C2" s="2">
        <f>1000*A2/B2</f>
        <v>13681.762210972773</v>
      </c>
      <c r="D2" s="1">
        <v>11.3</v>
      </c>
    </row>
    <row r="3" spans="1:13" x14ac:dyDescent="0.2">
      <c r="A3" s="1" t="s">
        <v>28</v>
      </c>
    </row>
    <row r="4" spans="1:13" x14ac:dyDescent="0.2">
      <c r="A4" s="14" t="s">
        <v>25</v>
      </c>
      <c r="B4" s="4"/>
    </row>
    <row r="5" spans="1:13" x14ac:dyDescent="0.2">
      <c r="A5" s="5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</row>
    <row r="6" spans="1:13" x14ac:dyDescent="0.2">
      <c r="A6" s="6" t="s">
        <v>29</v>
      </c>
      <c r="B6" s="7">
        <v>100</v>
      </c>
      <c r="C6" s="7">
        <v>400</v>
      </c>
      <c r="D6" s="7">
        <v>100</v>
      </c>
      <c r="E6" s="8">
        <f>D6*$C$2/G6</f>
        <v>2280.2937018287953</v>
      </c>
      <c r="F6" s="7">
        <f>G6/B6</f>
        <v>6</v>
      </c>
      <c r="G6" s="7">
        <f>SUM(B6:D6)</f>
        <v>600</v>
      </c>
      <c r="H6" s="9">
        <v>1</v>
      </c>
      <c r="I6" s="1">
        <v>7.83</v>
      </c>
      <c r="J6" s="10">
        <f>H6*6/I6</f>
        <v>0.76628352490421459</v>
      </c>
      <c r="K6" s="11">
        <v>1</v>
      </c>
      <c r="L6" s="12">
        <f>(J6*F6)*$D$2*(E6/1000)*K6</f>
        <v>118.47043140535811</v>
      </c>
      <c r="M6" s="13">
        <f>L6/10</f>
        <v>11.847043140535812</v>
      </c>
    </row>
    <row r="7" spans="1:13" x14ac:dyDescent="0.2">
      <c r="A7" s="6" t="s">
        <v>30</v>
      </c>
      <c r="B7" s="7">
        <v>100</v>
      </c>
      <c r="C7" s="7">
        <v>400</v>
      </c>
      <c r="D7" s="7">
        <v>100</v>
      </c>
      <c r="E7" s="8">
        <f>D7*$C$2/G7</f>
        <v>2280.2937018287953</v>
      </c>
      <c r="F7" s="7">
        <f>G7/B7</f>
        <v>6</v>
      </c>
      <c r="G7" s="7">
        <f>SUM(B7:D7)</f>
        <v>600</v>
      </c>
      <c r="H7" s="9">
        <v>1</v>
      </c>
      <c r="I7" s="1">
        <v>4.28</v>
      </c>
      <c r="J7" s="10">
        <f>H7*6/I7</f>
        <v>1.4018691588785046</v>
      </c>
      <c r="K7" s="11">
        <v>1</v>
      </c>
      <c r="L7" s="12">
        <f>(J7*F7)*$D$2*(E7/1000)*K7</f>
        <v>216.73445745419488</v>
      </c>
      <c r="M7" s="13">
        <f>L7/10</f>
        <v>21.673445745419489</v>
      </c>
    </row>
    <row r="8" spans="1:13" x14ac:dyDescent="0.2">
      <c r="A8" s="6" t="s">
        <v>31</v>
      </c>
      <c r="B8" s="7">
        <v>100</v>
      </c>
      <c r="C8" s="7">
        <v>400</v>
      </c>
      <c r="D8" s="7">
        <v>100</v>
      </c>
      <c r="E8" s="8">
        <f>D8*$C$2/G8</f>
        <v>2280.2937018287953</v>
      </c>
      <c r="F8" s="7">
        <f>G8/B8</f>
        <v>6</v>
      </c>
      <c r="G8" s="7">
        <f>SUM(B8:D8)</f>
        <v>600</v>
      </c>
      <c r="H8" s="9">
        <v>1</v>
      </c>
      <c r="I8" s="1">
        <v>81.900000000000006</v>
      </c>
      <c r="J8" s="10">
        <f>H8*6/I8</f>
        <v>7.326007326007325E-2</v>
      </c>
      <c r="K8" s="11">
        <v>1</v>
      </c>
      <c r="L8" s="12">
        <f>(J8*F8)*$D$2*(E8/1000)*K8</f>
        <v>11.326293991501268</v>
      </c>
      <c r="M8" s="13">
        <f>L8/10</f>
        <v>1.1326293991501268</v>
      </c>
    </row>
    <row r="9" spans="1:13" x14ac:dyDescent="0.2">
      <c r="I9" s="15"/>
    </row>
    <row r="16" spans="1:13" x14ac:dyDescent="0.2">
      <c r="A16" s="14" t="s">
        <v>26</v>
      </c>
    </row>
    <row r="17" spans="1:13" x14ac:dyDescent="0.2">
      <c r="A17" s="3"/>
    </row>
    <row r="18" spans="1:13" x14ac:dyDescent="0.2">
      <c r="A18" s="5"/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</row>
    <row r="19" spans="1:13" x14ac:dyDescent="0.2">
      <c r="A19" s="6" t="s">
        <v>29</v>
      </c>
      <c r="B19" s="7">
        <v>100</v>
      </c>
      <c r="C19" s="7">
        <v>400</v>
      </c>
      <c r="D19" s="7">
        <v>100</v>
      </c>
      <c r="E19" s="8">
        <f>D19*$C$2/G19</f>
        <v>2280.2937018287953</v>
      </c>
      <c r="F19" s="7">
        <f>G19/B19</f>
        <v>6</v>
      </c>
      <c r="G19" s="7">
        <f>SUM(B19:D19)</f>
        <v>600</v>
      </c>
      <c r="H19" s="9">
        <v>1</v>
      </c>
      <c r="I19" s="1">
        <v>8.2200000000000006</v>
      </c>
      <c r="J19" s="10">
        <f>H19*6/I19</f>
        <v>0.72992700729927007</v>
      </c>
      <c r="K19" s="11">
        <v>1</v>
      </c>
      <c r="L19" s="12">
        <f>(J19*F19)*$D$2*(E19/1000)*K19</f>
        <v>112.84957152116229</v>
      </c>
      <c r="M19" s="13">
        <f>L19/10</f>
        <v>11.284957152116229</v>
      </c>
    </row>
    <row r="20" spans="1:13" x14ac:dyDescent="0.2">
      <c r="A20" s="6" t="s">
        <v>30</v>
      </c>
      <c r="B20" s="7">
        <v>100</v>
      </c>
      <c r="C20" s="7">
        <v>400</v>
      </c>
      <c r="D20" s="7">
        <v>100</v>
      </c>
      <c r="E20" s="8">
        <f>D20*$C$2/G20</f>
        <v>2280.2937018287953</v>
      </c>
      <c r="F20" s="7">
        <f>G20/B20</f>
        <v>6</v>
      </c>
      <c r="G20" s="7">
        <f>SUM(B20:D20)</f>
        <v>600</v>
      </c>
      <c r="H20" s="9">
        <v>1</v>
      </c>
      <c r="I20" s="1">
        <v>4.5599999999999996</v>
      </c>
      <c r="J20" s="10">
        <f>H20*6/I20</f>
        <v>1.3157894736842106</v>
      </c>
      <c r="K20" s="11">
        <v>1</v>
      </c>
      <c r="L20" s="12">
        <f>(J20*F20)*$D$2*(E20/1000)*K20</f>
        <v>203.42620129472675</v>
      </c>
      <c r="M20" s="13">
        <f>L20/10</f>
        <v>20.342620129472675</v>
      </c>
    </row>
    <row r="21" spans="1:13" x14ac:dyDescent="0.2">
      <c r="A21" s="6" t="s">
        <v>31</v>
      </c>
      <c r="B21" s="7">
        <v>100</v>
      </c>
      <c r="C21" s="7">
        <v>400</v>
      </c>
      <c r="D21" s="7">
        <v>100</v>
      </c>
      <c r="E21" s="8">
        <f>D21*$C$2/G21</f>
        <v>2280.2937018287953</v>
      </c>
      <c r="F21" s="7">
        <f>G21/B21</f>
        <v>6</v>
      </c>
      <c r="G21" s="7">
        <f>SUM(B21:D21)</f>
        <v>600</v>
      </c>
      <c r="H21" s="9">
        <v>1</v>
      </c>
      <c r="I21" s="1">
        <v>65.099999999999994</v>
      </c>
      <c r="J21" s="10">
        <f>H21*6/I21</f>
        <v>9.2165898617511524E-2</v>
      </c>
      <c r="K21" s="11">
        <v>1</v>
      </c>
      <c r="L21" s="12">
        <f>(J21*F21)*$D$2*(E21/1000)*K21</f>
        <v>14.249208569953213</v>
      </c>
      <c r="M21" s="13">
        <f>L21/10</f>
        <v>1.4249208569953213</v>
      </c>
    </row>
    <row r="30" spans="1:13" x14ac:dyDescent="0.2">
      <c r="A30" s="14" t="s">
        <v>57</v>
      </c>
    </row>
    <row r="31" spans="1:13" x14ac:dyDescent="0.2">
      <c r="A31" s="3"/>
    </row>
    <row r="32" spans="1:13" x14ac:dyDescent="0.2">
      <c r="A32" s="5"/>
      <c r="B32" s="5" t="s">
        <v>4</v>
      </c>
      <c r="C32" s="5" t="s">
        <v>5</v>
      </c>
      <c r="D32" s="5" t="s">
        <v>6</v>
      </c>
      <c r="E32" s="5" t="s">
        <v>7</v>
      </c>
      <c r="F32" s="5" t="s">
        <v>8</v>
      </c>
      <c r="G32" s="5" t="s">
        <v>9</v>
      </c>
      <c r="H32" s="5" t="s">
        <v>10</v>
      </c>
      <c r="I32" s="5" t="s">
        <v>11</v>
      </c>
      <c r="J32" s="5" t="s">
        <v>12</v>
      </c>
      <c r="K32" s="5" t="s">
        <v>13</v>
      </c>
      <c r="L32" s="5" t="s">
        <v>14</v>
      </c>
      <c r="M32" s="5" t="s">
        <v>15</v>
      </c>
    </row>
    <row r="33" spans="1:13" x14ac:dyDescent="0.2">
      <c r="A33" s="6" t="s">
        <v>29</v>
      </c>
      <c r="B33" s="7">
        <v>100</v>
      </c>
      <c r="C33" s="7">
        <v>400</v>
      </c>
      <c r="D33" s="7">
        <v>100</v>
      </c>
      <c r="E33" s="8">
        <f>D33*$C$2/G33</f>
        <v>2280.2937018287953</v>
      </c>
      <c r="F33" s="7">
        <f>G33/B33</f>
        <v>6</v>
      </c>
      <c r="G33" s="7">
        <f>SUM(B33:D33)</f>
        <v>600</v>
      </c>
      <c r="H33" s="9">
        <v>1</v>
      </c>
      <c r="I33" s="1">
        <v>8.1999999999999993</v>
      </c>
      <c r="J33" s="10">
        <f>H33*6/I33</f>
        <v>0.73170731707317083</v>
      </c>
      <c r="K33" s="11">
        <v>1</v>
      </c>
      <c r="L33" s="12">
        <f>(J33*F33)*$D$2*(E33/1000)*K33</f>
        <v>113.12481437853098</v>
      </c>
      <c r="M33" s="13">
        <f>L33/10</f>
        <v>11.312481437853098</v>
      </c>
    </row>
    <row r="34" spans="1:13" x14ac:dyDescent="0.2">
      <c r="A34" s="6" t="s">
        <v>30</v>
      </c>
      <c r="B34" s="7">
        <v>100</v>
      </c>
      <c r="C34" s="7">
        <v>400</v>
      </c>
      <c r="D34" s="7">
        <v>100</v>
      </c>
      <c r="E34" s="8">
        <f>D34*$C$2/G34</f>
        <v>2280.2937018287953</v>
      </c>
      <c r="F34" s="7">
        <f>G34/B34</f>
        <v>6</v>
      </c>
      <c r="G34" s="7">
        <f>SUM(B34:D34)</f>
        <v>600</v>
      </c>
      <c r="H34" s="9">
        <v>1</v>
      </c>
      <c r="I34" s="1">
        <v>4.74</v>
      </c>
      <c r="J34" s="10">
        <f>H34*6/I34</f>
        <v>1.2658227848101264</v>
      </c>
      <c r="K34" s="11">
        <v>1</v>
      </c>
      <c r="L34" s="12">
        <f>(J34*F34)*$D$2*(E34/1000)*K34</f>
        <v>195.70115567593965</v>
      </c>
      <c r="M34" s="13">
        <f>L34/10</f>
        <v>19.570115567593966</v>
      </c>
    </row>
    <row r="35" spans="1:13" x14ac:dyDescent="0.2">
      <c r="A35" s="6" t="s">
        <v>31</v>
      </c>
      <c r="B35" s="7">
        <v>100</v>
      </c>
      <c r="C35" s="7">
        <v>400</v>
      </c>
      <c r="D35" s="7">
        <v>100</v>
      </c>
      <c r="E35" s="8">
        <f>D35*$C$2/G35</f>
        <v>2280.2937018287953</v>
      </c>
      <c r="F35" s="7">
        <f>G35/B35</f>
        <v>6</v>
      </c>
      <c r="G35" s="7">
        <f>SUM(B35:D35)</f>
        <v>600</v>
      </c>
      <c r="H35" s="9">
        <v>1</v>
      </c>
      <c r="I35" s="1">
        <v>58.75</v>
      </c>
      <c r="J35" s="10">
        <f>H35*6/I35</f>
        <v>0.10212765957446808</v>
      </c>
      <c r="K35" s="11">
        <v>1</v>
      </c>
      <c r="L35" s="12">
        <f>(J35*F35)*$D$2*(E35/1000)*K35</f>
        <v>15.789335794109855</v>
      </c>
      <c r="M35" s="13">
        <f>L35/10</f>
        <v>1.5789335794109856</v>
      </c>
    </row>
    <row r="39" spans="1:13" x14ac:dyDescent="0.2">
      <c r="A39" s="14" t="s">
        <v>58</v>
      </c>
    </row>
    <row r="40" spans="1:13" x14ac:dyDescent="0.2">
      <c r="A40" s="3"/>
    </row>
    <row r="41" spans="1:13" x14ac:dyDescent="0.2">
      <c r="A41" s="5"/>
      <c r="B41" s="5" t="s">
        <v>4</v>
      </c>
      <c r="C41" s="5" t="s">
        <v>5</v>
      </c>
      <c r="D41" s="5" t="s">
        <v>6</v>
      </c>
      <c r="E41" s="5" t="s">
        <v>7</v>
      </c>
      <c r="F41" s="5" t="s">
        <v>8</v>
      </c>
      <c r="G41" s="5" t="s">
        <v>9</v>
      </c>
      <c r="H41" s="5" t="s">
        <v>10</v>
      </c>
      <c r="I41" s="5" t="s">
        <v>11</v>
      </c>
      <c r="J41" s="5" t="s">
        <v>12</v>
      </c>
      <c r="K41" s="5" t="s">
        <v>13</v>
      </c>
      <c r="L41" s="5" t="s">
        <v>14</v>
      </c>
      <c r="M41" s="5" t="s">
        <v>15</v>
      </c>
    </row>
    <row r="42" spans="1:13" x14ac:dyDescent="0.2">
      <c r="A42" s="6" t="s">
        <v>29</v>
      </c>
      <c r="B42" s="7">
        <v>100</v>
      </c>
      <c r="C42" s="7">
        <v>400</v>
      </c>
      <c r="D42" s="7">
        <v>100</v>
      </c>
      <c r="E42" s="8">
        <f>D42*$C$2/G42</f>
        <v>2280.2937018287953</v>
      </c>
      <c r="F42" s="7">
        <f>G42/B42</f>
        <v>6</v>
      </c>
      <c r="G42" s="7">
        <f>SUM(B42:D42)</f>
        <v>600</v>
      </c>
      <c r="H42" s="9">
        <v>1</v>
      </c>
      <c r="I42" s="1">
        <v>8.3699999999999992</v>
      </c>
      <c r="J42" s="10">
        <f>H42*6/I42</f>
        <v>0.71684587813620082</v>
      </c>
      <c r="K42" s="11">
        <v>1</v>
      </c>
      <c r="L42" s="12">
        <f>(J42*F42)*$D$2*(E42/1000)*K42</f>
        <v>110.82717776630275</v>
      </c>
      <c r="M42" s="13">
        <f>L42/10</f>
        <v>11.082717776630275</v>
      </c>
    </row>
    <row r="43" spans="1:13" x14ac:dyDescent="0.2">
      <c r="A43" s="6" t="s">
        <v>30</v>
      </c>
      <c r="B43" s="7">
        <v>100</v>
      </c>
      <c r="C43" s="7">
        <v>400</v>
      </c>
      <c r="D43" s="7">
        <v>100</v>
      </c>
      <c r="E43" s="8">
        <f>D43*$C$2/G43</f>
        <v>2280.2937018287953</v>
      </c>
      <c r="F43" s="7">
        <f>G43/B43</f>
        <v>6</v>
      </c>
      <c r="G43" s="7">
        <f>SUM(B43:D43)</f>
        <v>600</v>
      </c>
      <c r="H43" s="9">
        <v>1</v>
      </c>
      <c r="I43" s="1">
        <v>5.4</v>
      </c>
      <c r="J43" s="10">
        <f>H43*6/I43</f>
        <v>1.1111111111111109</v>
      </c>
      <c r="K43" s="11">
        <v>1</v>
      </c>
      <c r="L43" s="12">
        <f>(J43*F43)*$D$2*(E43/1000)*K43</f>
        <v>171.78212553776925</v>
      </c>
      <c r="M43" s="13">
        <f>L43/10</f>
        <v>17.178212553776923</v>
      </c>
    </row>
    <row r="44" spans="1:13" x14ac:dyDescent="0.2">
      <c r="A44" s="6" t="s">
        <v>31</v>
      </c>
      <c r="B44" s="7">
        <v>100</v>
      </c>
      <c r="C44" s="7">
        <v>400</v>
      </c>
      <c r="D44" s="7">
        <v>100</v>
      </c>
      <c r="E44" s="8">
        <f>D44*$C$2/G44</f>
        <v>2280.2937018287953</v>
      </c>
      <c r="F44" s="7">
        <f>G44/B44</f>
        <v>6</v>
      </c>
      <c r="G44" s="7">
        <f>SUM(B44:D44)</f>
        <v>600</v>
      </c>
      <c r="H44" s="9">
        <v>1</v>
      </c>
      <c r="I44" s="1">
        <v>44.45</v>
      </c>
      <c r="J44" s="10">
        <f>H44*6/I44</f>
        <v>0.13498312710911134</v>
      </c>
      <c r="K44" s="11">
        <v>1</v>
      </c>
      <c r="L44" s="12">
        <f>(J44*F44)*$D$2*(E44/1000)*K44</f>
        <v>20.868919637884229</v>
      </c>
      <c r="M44" s="13">
        <f>L44/10</f>
        <v>2.0868919637884229</v>
      </c>
    </row>
    <row r="46" spans="1:13" x14ac:dyDescent="0.2">
      <c r="A46" s="14" t="s">
        <v>59</v>
      </c>
    </row>
    <row r="47" spans="1:13" x14ac:dyDescent="0.2">
      <c r="A47" s="3"/>
    </row>
    <row r="48" spans="1:13" x14ac:dyDescent="0.2">
      <c r="A48" s="5"/>
      <c r="B48" s="5" t="s">
        <v>4</v>
      </c>
      <c r="C48" s="5" t="s">
        <v>5</v>
      </c>
      <c r="D48" s="5" t="s">
        <v>6</v>
      </c>
      <c r="E48" s="5" t="s">
        <v>7</v>
      </c>
      <c r="F48" s="5" t="s">
        <v>8</v>
      </c>
      <c r="G48" s="5" t="s">
        <v>9</v>
      </c>
      <c r="H48" s="5" t="s">
        <v>10</v>
      </c>
      <c r="I48" s="5" t="s">
        <v>11</v>
      </c>
      <c r="J48" s="5" t="s">
        <v>12</v>
      </c>
      <c r="K48" s="5" t="s">
        <v>13</v>
      </c>
      <c r="L48" s="5" t="s">
        <v>14</v>
      </c>
      <c r="M48" s="5" t="s">
        <v>15</v>
      </c>
    </row>
    <row r="49" spans="1:13" x14ac:dyDescent="0.2">
      <c r="A49" s="6" t="s">
        <v>29</v>
      </c>
      <c r="B49" s="7">
        <v>100</v>
      </c>
      <c r="C49" s="7">
        <v>400</v>
      </c>
      <c r="D49" s="7">
        <v>100</v>
      </c>
      <c r="E49" s="8">
        <f>D49*$C$2/G49</f>
        <v>2280.2937018287953</v>
      </c>
      <c r="F49" s="7">
        <f>G49/B49</f>
        <v>6</v>
      </c>
      <c r="G49" s="7">
        <f>SUM(B49:D49)</f>
        <v>600</v>
      </c>
      <c r="H49" s="9">
        <v>1</v>
      </c>
      <c r="I49" s="1">
        <v>9.2200000000000006</v>
      </c>
      <c r="J49" s="10">
        <f>H49*6/I49</f>
        <v>0.65075921908893708</v>
      </c>
      <c r="K49" s="11">
        <v>1</v>
      </c>
      <c r="L49" s="12">
        <f>(J49*F49)*$D$2*(E49/1000)*K49</f>
        <v>100.60992168155684</v>
      </c>
      <c r="M49" s="13">
        <f>L49/10</f>
        <v>10.060992168155684</v>
      </c>
    </row>
    <row r="50" spans="1:13" x14ac:dyDescent="0.2">
      <c r="A50" s="6" t="s">
        <v>30</v>
      </c>
      <c r="B50" s="7">
        <v>100</v>
      </c>
      <c r="C50" s="7">
        <v>400</v>
      </c>
      <c r="D50" s="7">
        <v>100</v>
      </c>
      <c r="E50" s="8">
        <f>D50*$C$2/G50</f>
        <v>2280.2937018287953</v>
      </c>
      <c r="F50" s="7">
        <f>G50/B50</f>
        <v>6</v>
      </c>
      <c r="G50" s="7">
        <f>SUM(B50:D50)</f>
        <v>600</v>
      </c>
      <c r="H50" s="9">
        <v>1</v>
      </c>
      <c r="I50" s="1">
        <v>5.54</v>
      </c>
      <c r="J50" s="10">
        <f>H50*6/I50</f>
        <v>1.0830324909747293</v>
      </c>
      <c r="K50" s="11">
        <v>1</v>
      </c>
      <c r="L50" s="12">
        <f>(J50*F50)*$D$2*(E50/1000)*K50</f>
        <v>167.44106099349352</v>
      </c>
      <c r="M50" s="13">
        <f>L50/10</f>
        <v>16.744106099349352</v>
      </c>
    </row>
    <row r="51" spans="1:13" x14ac:dyDescent="0.2">
      <c r="A51" s="6" t="s">
        <v>31</v>
      </c>
      <c r="B51" s="7">
        <v>100</v>
      </c>
      <c r="C51" s="7">
        <v>400</v>
      </c>
      <c r="D51" s="7">
        <v>100</v>
      </c>
      <c r="E51" s="8">
        <f>D51*$C$2/G51</f>
        <v>2280.2937018287953</v>
      </c>
      <c r="F51" s="7">
        <f>G51/B51</f>
        <v>6</v>
      </c>
      <c r="G51" s="7">
        <f>SUM(B51:D51)</f>
        <v>600</v>
      </c>
      <c r="H51" s="9">
        <v>1</v>
      </c>
      <c r="I51" s="1">
        <v>34.369999999999997</v>
      </c>
      <c r="J51" s="10">
        <f>H51*6/I51</f>
        <v>0.17457084666860637</v>
      </c>
      <c r="K51" s="11">
        <v>1</v>
      </c>
      <c r="L51" s="12">
        <f>(J51*F51)*$D$2*(E51/1000)*K51</f>
        <v>26.989335987895089</v>
      </c>
      <c r="M51" s="13">
        <f>L51/10</f>
        <v>2.6989335987895089</v>
      </c>
    </row>
    <row r="55" spans="1:13" x14ac:dyDescent="0.2">
      <c r="A55" s="3" t="s">
        <v>16</v>
      </c>
    </row>
    <row r="56" spans="1:13" x14ac:dyDescent="0.2">
      <c r="A56" s="5"/>
      <c r="B56" s="5" t="s">
        <v>4</v>
      </c>
      <c r="C56" s="5" t="s">
        <v>5</v>
      </c>
      <c r="D56" s="5" t="s">
        <v>6</v>
      </c>
      <c r="E56" s="5" t="s">
        <v>7</v>
      </c>
      <c r="F56" s="5" t="s">
        <v>8</v>
      </c>
      <c r="G56" s="5" t="s">
        <v>9</v>
      </c>
      <c r="H56" s="5" t="s">
        <v>10</v>
      </c>
      <c r="I56" s="5" t="s">
        <v>11</v>
      </c>
      <c r="J56" s="5" t="s">
        <v>12</v>
      </c>
      <c r="K56" s="5" t="s">
        <v>13</v>
      </c>
      <c r="L56" s="5" t="s">
        <v>14</v>
      </c>
      <c r="M56" s="5" t="s">
        <v>15</v>
      </c>
    </row>
    <row r="57" spans="1:13" x14ac:dyDescent="0.2">
      <c r="A57" s="6" t="s">
        <v>24</v>
      </c>
      <c r="B57" s="7">
        <v>100</v>
      </c>
      <c r="C57" s="7">
        <v>400</v>
      </c>
      <c r="D57" s="7">
        <v>100</v>
      </c>
      <c r="E57" s="8">
        <f>D57*$C$2/G57</f>
        <v>2280.2937018287953</v>
      </c>
      <c r="F57" s="7">
        <f>G57/B57</f>
        <v>6</v>
      </c>
      <c r="G57" s="7">
        <f>SUM(B57:D57)</f>
        <v>600</v>
      </c>
      <c r="H57" s="9">
        <v>1</v>
      </c>
      <c r="I57" s="1">
        <v>10.029999999999999</v>
      </c>
      <c r="J57" s="10">
        <f>H57*6/I57</f>
        <v>0.59820538384845467</v>
      </c>
      <c r="K57" s="11">
        <v>1</v>
      </c>
      <c r="L57" s="12">
        <f>(J57*F57)*$D$2*(E57/1000)*K57</f>
        <v>92.484893111062235</v>
      </c>
      <c r="M57" s="13">
        <f>L57/10</f>
        <v>9.2484893111062227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0FCD-DD6C-4C3C-A014-2E5D86BFF136}">
  <dimension ref="A1:S57"/>
  <sheetViews>
    <sheetView zoomScale="63" workbookViewId="0">
      <selection activeCell="H25" sqref="H25"/>
    </sheetView>
  </sheetViews>
  <sheetFormatPr baseColWidth="10" defaultColWidth="11.33203125" defaultRowHeight="16" x14ac:dyDescent="0.2"/>
  <cols>
    <col min="1" max="1" width="19.33203125" style="1" bestFit="1" customWidth="1"/>
    <col min="2" max="2" width="16.6640625" style="1" bestFit="1" customWidth="1"/>
    <col min="3" max="3" width="15.83203125" style="1" bestFit="1" customWidth="1"/>
    <col min="4" max="4" width="14.1640625" style="1" bestFit="1" customWidth="1"/>
    <col min="5" max="5" width="13.1640625" style="1" customWidth="1"/>
    <col min="6" max="6" width="10.83203125" style="1" bestFit="1" customWidth="1"/>
    <col min="7" max="8" width="9.33203125" style="1" bestFit="1" customWidth="1"/>
    <col min="9" max="9" width="9.83203125" style="1" bestFit="1" customWidth="1"/>
    <col min="10" max="10" width="12.6640625" style="1" bestFit="1" customWidth="1"/>
    <col min="11" max="11" width="12.5" style="1" bestFit="1" customWidth="1"/>
    <col min="12" max="12" width="10.6640625" style="1" customWidth="1"/>
    <col min="13" max="13" width="12.83203125" style="1" bestFit="1" customWidth="1"/>
    <col min="14" max="16384" width="11.33203125" style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9" x14ac:dyDescent="0.2">
      <c r="A2" s="1">
        <v>1000</v>
      </c>
      <c r="B2" s="1">
        <v>73.09</v>
      </c>
      <c r="C2" s="2">
        <f>1000*A2/B2</f>
        <v>13681.762210972773</v>
      </c>
      <c r="D2" s="1">
        <v>11.3</v>
      </c>
    </row>
    <row r="3" spans="1:19" x14ac:dyDescent="0.2">
      <c r="A3" s="1" t="s">
        <v>28</v>
      </c>
    </row>
    <row r="4" spans="1:19" x14ac:dyDescent="0.2">
      <c r="A4" s="14" t="s">
        <v>25</v>
      </c>
      <c r="B4" s="4"/>
      <c r="O4" s="1" t="s">
        <v>32</v>
      </c>
      <c r="P4" s="1" t="s">
        <v>33</v>
      </c>
      <c r="Q4" s="1" t="s">
        <v>34</v>
      </c>
      <c r="R4" s="1" t="s">
        <v>56</v>
      </c>
      <c r="S4" s="1" t="s">
        <v>40</v>
      </c>
    </row>
    <row r="5" spans="1:19" x14ac:dyDescent="0.2">
      <c r="A5" s="5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1" t="s">
        <v>29</v>
      </c>
      <c r="O5" s="1">
        <v>115.6637752997449</v>
      </c>
      <c r="P5" s="1">
        <v>118.47043140535811</v>
      </c>
      <c r="Q5" s="1">
        <v>121.41668558952279</v>
      </c>
      <c r="R5" s="1">
        <f>AVERAGE(O5:Q5)</f>
        <v>118.51696409820859</v>
      </c>
      <c r="S5" s="1">
        <f>STDEV(O5:Q5)</f>
        <v>2.8767374174898221</v>
      </c>
    </row>
    <row r="6" spans="1:19" x14ac:dyDescent="0.2">
      <c r="A6" s="6" t="s">
        <v>29</v>
      </c>
      <c r="B6" s="7">
        <v>100</v>
      </c>
      <c r="C6" s="7">
        <v>400</v>
      </c>
      <c r="D6" s="7">
        <v>100</v>
      </c>
      <c r="E6" s="8">
        <f>D6*$C$2/G6</f>
        <v>2280.2937018287953</v>
      </c>
      <c r="F6" s="7">
        <f>G6/B6</f>
        <v>6</v>
      </c>
      <c r="G6" s="7">
        <f>SUM(B6:D6)</f>
        <v>600</v>
      </c>
      <c r="H6" s="9">
        <v>1</v>
      </c>
      <c r="I6" s="1">
        <v>7.64</v>
      </c>
      <c r="J6" s="10">
        <f>H6*6/I6</f>
        <v>0.78534031413612571</v>
      </c>
      <c r="K6" s="11">
        <v>1</v>
      </c>
      <c r="L6" s="12">
        <f>(J6*F6)*$D$2*(E6/1000)*K6</f>
        <v>121.41668558952279</v>
      </c>
      <c r="M6" s="13">
        <f>L6/10</f>
        <v>12.141668558952279</v>
      </c>
      <c r="O6" s="1">
        <v>111.49320647884062</v>
      </c>
      <c r="P6" s="1">
        <v>112.84957152116229</v>
      </c>
      <c r="Q6" s="1">
        <v>115.51973572901048</v>
      </c>
      <c r="R6" s="1">
        <f t="shared" ref="R6:R23" si="0">AVERAGE(O6:Q6)</f>
        <v>113.28750457633778</v>
      </c>
      <c r="S6" s="1">
        <f t="shared" ref="S6:S23" si="1">STDEV(O6:Q6)</f>
        <v>2.0486760288610486</v>
      </c>
    </row>
    <row r="7" spans="1:19" x14ac:dyDescent="0.2">
      <c r="A7" s="6" t="s">
        <v>30</v>
      </c>
      <c r="B7" s="7">
        <v>100</v>
      </c>
      <c r="C7" s="7">
        <v>400</v>
      </c>
      <c r="D7" s="7">
        <v>100</v>
      </c>
      <c r="E7" s="8">
        <f>D7*$C$2/G7</f>
        <v>2280.2937018287953</v>
      </c>
      <c r="F7" s="7">
        <f>G7/B7</f>
        <v>6</v>
      </c>
      <c r="G7" s="7">
        <f>SUM(B7:D7)</f>
        <v>600</v>
      </c>
      <c r="H7" s="9">
        <v>1</v>
      </c>
      <c r="I7" s="1">
        <v>4.1100000000000003</v>
      </c>
      <c r="J7" s="10">
        <f>H7*6/I7</f>
        <v>1.4598540145985401</v>
      </c>
      <c r="K7" s="11">
        <v>1</v>
      </c>
      <c r="L7" s="12">
        <f>(J7*F7)*$D$2*(E7/1000)*K7</f>
        <v>225.69914304232458</v>
      </c>
      <c r="M7" s="13">
        <f>L7/10</f>
        <v>22.569914304232459</v>
      </c>
      <c r="O7" s="1">
        <v>104.22735706786</v>
      </c>
      <c r="P7" s="1">
        <v>113.12481437853098</v>
      </c>
      <c r="Q7" s="1">
        <v>111.76186480770528</v>
      </c>
      <c r="R7" s="1">
        <f t="shared" si="0"/>
        <v>109.70467875136542</v>
      </c>
      <c r="S7" s="1">
        <f t="shared" si="1"/>
        <v>4.7922017384081927</v>
      </c>
    </row>
    <row r="8" spans="1:19" x14ac:dyDescent="0.2">
      <c r="A8" s="6" t="s">
        <v>31</v>
      </c>
      <c r="B8" s="7">
        <v>100</v>
      </c>
      <c r="C8" s="7">
        <v>400</v>
      </c>
      <c r="D8" s="7">
        <v>100</v>
      </c>
      <c r="E8" s="8">
        <f>D8*$C$2/G8</f>
        <v>2280.2937018287953</v>
      </c>
      <c r="F8" s="7">
        <f>G8/B8</f>
        <v>6</v>
      </c>
      <c r="G8" s="7">
        <f>SUM(B8:D8)</f>
        <v>600</v>
      </c>
      <c r="H8" s="9">
        <v>1</v>
      </c>
      <c r="I8" s="1">
        <v>57.75</v>
      </c>
      <c r="J8" s="10">
        <f>H8*6/I8</f>
        <v>0.1038961038961039</v>
      </c>
      <c r="K8" s="11">
        <v>1</v>
      </c>
      <c r="L8" s="12">
        <f>(J8*F8)*$D$2*(E8/1000)*K8</f>
        <v>16.062744206129075</v>
      </c>
      <c r="M8" s="13">
        <f>L8/10</f>
        <v>1.6062744206129076</v>
      </c>
      <c r="O8" s="1">
        <v>101.71310064736338</v>
      </c>
      <c r="P8" s="1">
        <v>110.82717776630275</v>
      </c>
      <c r="Q8" s="1">
        <v>100.50091851613803</v>
      </c>
      <c r="R8" s="1">
        <f t="shared" si="0"/>
        <v>104.34706564326807</v>
      </c>
      <c r="S8" s="1">
        <f t="shared" si="1"/>
        <v>5.6445758233140495</v>
      </c>
    </row>
    <row r="9" spans="1:19" x14ac:dyDescent="0.2">
      <c r="I9" s="15"/>
      <c r="O9" s="1">
        <v>101.37961507147038</v>
      </c>
      <c r="P9" s="1">
        <v>100.60992168155684</v>
      </c>
      <c r="Q9" s="1">
        <v>96.126785275021135</v>
      </c>
      <c r="R9" s="1">
        <f t="shared" si="0"/>
        <v>99.372107342682781</v>
      </c>
      <c r="S9" s="1">
        <f t="shared" si="1"/>
        <v>2.8367575629154356</v>
      </c>
    </row>
    <row r="11" spans="1:19" x14ac:dyDescent="0.2">
      <c r="N11" s="1" t="s">
        <v>30</v>
      </c>
      <c r="O11" s="1">
        <v>224.06364200578605</v>
      </c>
      <c r="P11" s="1">
        <v>216.73445745419488</v>
      </c>
      <c r="Q11" s="1">
        <v>225.69914304232458</v>
      </c>
      <c r="R11" s="1">
        <f t="shared" si="0"/>
        <v>222.16574750076848</v>
      </c>
      <c r="S11" s="1">
        <f t="shared" si="1"/>
        <v>4.7741909877629443</v>
      </c>
    </row>
    <row r="12" spans="1:19" x14ac:dyDescent="0.2">
      <c r="O12" s="1">
        <v>199.48891997934498</v>
      </c>
      <c r="P12" s="1">
        <v>203.42620129472675</v>
      </c>
      <c r="Q12" s="1">
        <v>213.73812854929818</v>
      </c>
      <c r="R12" s="1">
        <f t="shared" si="0"/>
        <v>205.55108327445666</v>
      </c>
      <c r="S12" s="1">
        <f t="shared" si="1"/>
        <v>7.3584189054675671</v>
      </c>
    </row>
    <row r="13" spans="1:19" x14ac:dyDescent="0.2">
      <c r="O13" s="1">
        <v>184.41818646201867</v>
      </c>
      <c r="P13" s="1">
        <v>195.70115567593965</v>
      </c>
      <c r="Q13" s="1">
        <v>196.11490019111076</v>
      </c>
      <c r="R13" s="1">
        <f t="shared" si="0"/>
        <v>192.07808077635636</v>
      </c>
      <c r="S13" s="1">
        <f t="shared" si="1"/>
        <v>6.6368879613170897</v>
      </c>
    </row>
    <row r="14" spans="1:19" x14ac:dyDescent="0.2">
      <c r="O14" s="1">
        <v>182.96321063194358</v>
      </c>
      <c r="P14" s="1">
        <v>171.78212553776925</v>
      </c>
      <c r="Q14" s="1">
        <v>189.31091385794977</v>
      </c>
      <c r="R14" s="1">
        <f t="shared" si="0"/>
        <v>181.35208334255421</v>
      </c>
      <c r="S14" s="1">
        <f t="shared" si="1"/>
        <v>8.8747621573981164</v>
      </c>
    </row>
    <row r="15" spans="1:19" x14ac:dyDescent="0.2">
      <c r="O15" s="1">
        <v>159.93508239723349</v>
      </c>
      <c r="P15" s="1">
        <v>167.44106099349352</v>
      </c>
      <c r="Q15" s="1">
        <v>161.32582224416592</v>
      </c>
      <c r="R15" s="1">
        <f t="shared" si="0"/>
        <v>162.90065521163098</v>
      </c>
      <c r="S15" s="1">
        <f t="shared" si="1"/>
        <v>3.9931194357844522</v>
      </c>
    </row>
    <row r="16" spans="1:19" x14ac:dyDescent="0.2">
      <c r="A16" s="14" t="s">
        <v>26</v>
      </c>
    </row>
    <row r="17" spans="1:19" x14ac:dyDescent="0.2">
      <c r="A17" s="3"/>
      <c r="N17" s="1" t="s">
        <v>31</v>
      </c>
      <c r="O17" s="1">
        <v>11.989446528421274</v>
      </c>
      <c r="P17" s="1">
        <v>11.326293991501268</v>
      </c>
      <c r="Q17" s="1">
        <v>16.062744206129075</v>
      </c>
      <c r="R17" s="1">
        <f t="shared" si="0"/>
        <v>13.126161575350539</v>
      </c>
      <c r="S17" s="1">
        <f t="shared" si="1"/>
        <v>2.564679508700547</v>
      </c>
    </row>
    <row r="18" spans="1:19" x14ac:dyDescent="0.2">
      <c r="A18" s="5"/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  <c r="O18" s="1">
        <v>14.930363397778107</v>
      </c>
      <c r="P18" s="1">
        <v>14.249208569953213</v>
      </c>
      <c r="Q18" s="1">
        <v>14.233903297590208</v>
      </c>
      <c r="R18" s="1">
        <f t="shared" si="0"/>
        <v>14.471158421773843</v>
      </c>
      <c r="S18" s="1">
        <f t="shared" si="1"/>
        <v>0.39775679796935487</v>
      </c>
    </row>
    <row r="19" spans="1:19" x14ac:dyDescent="0.2">
      <c r="A19" s="6" t="s">
        <v>29</v>
      </c>
      <c r="B19" s="7">
        <v>100</v>
      </c>
      <c r="C19" s="7">
        <v>400</v>
      </c>
      <c r="D19" s="7">
        <v>100</v>
      </c>
      <c r="E19" s="8">
        <f>D19*$C$2/G19</f>
        <v>2280.2937018287953</v>
      </c>
      <c r="F19" s="7">
        <f>G19/B19</f>
        <v>6</v>
      </c>
      <c r="G19" s="7">
        <f>SUM(B19:D19)</f>
        <v>600</v>
      </c>
      <c r="H19" s="9">
        <v>1</v>
      </c>
      <c r="I19" s="1">
        <v>8.0299999999999994</v>
      </c>
      <c r="J19" s="10">
        <f>H19*6/I19</f>
        <v>0.74719800747198017</v>
      </c>
      <c r="K19" s="11">
        <v>1</v>
      </c>
      <c r="L19" s="12">
        <f>(J19*F19)*$D$2*(E19/1000)*K19</f>
        <v>115.51973572901048</v>
      </c>
      <c r="M19" s="13">
        <f>L19/10</f>
        <v>11.551973572901048</v>
      </c>
      <c r="O19" s="1">
        <v>18.354243725840011</v>
      </c>
      <c r="P19" s="1">
        <v>15.789335794109855</v>
      </c>
      <c r="Q19" s="1">
        <v>18.739868240483919</v>
      </c>
      <c r="R19" s="1">
        <f t="shared" si="0"/>
        <v>17.627815920144595</v>
      </c>
      <c r="S19" s="1">
        <f t="shared" si="1"/>
        <v>1.603802807997954</v>
      </c>
    </row>
    <row r="20" spans="1:19" x14ac:dyDescent="0.2">
      <c r="A20" s="6" t="s">
        <v>30</v>
      </c>
      <c r="B20" s="7">
        <v>100</v>
      </c>
      <c r="C20" s="7">
        <v>400</v>
      </c>
      <c r="D20" s="7">
        <v>100</v>
      </c>
      <c r="E20" s="8">
        <f>D20*$C$2/G20</f>
        <v>2280.2937018287953</v>
      </c>
      <c r="F20" s="7">
        <f>G20/B20</f>
        <v>6</v>
      </c>
      <c r="G20" s="7">
        <f>SUM(B20:D20)</f>
        <v>600</v>
      </c>
      <c r="H20" s="9">
        <v>1</v>
      </c>
      <c r="I20" s="1">
        <v>4.34</v>
      </c>
      <c r="J20" s="10">
        <f>H20*6/I20</f>
        <v>1.3824884792626728</v>
      </c>
      <c r="K20" s="11">
        <v>1</v>
      </c>
      <c r="L20" s="12">
        <f>(J20*F20)*$D$2*(E20/1000)*K20</f>
        <v>213.73812854929818</v>
      </c>
      <c r="M20" s="13">
        <f>L20/10</f>
        <v>21.373812854929817</v>
      </c>
      <c r="O20" s="1">
        <v>19.008677825900698</v>
      </c>
      <c r="P20" s="1">
        <v>20.868919637884229</v>
      </c>
      <c r="Q20" s="1">
        <v>21.048864939958115</v>
      </c>
      <c r="R20" s="1">
        <f t="shared" si="0"/>
        <v>20.308820801247681</v>
      </c>
      <c r="S20" s="1">
        <f t="shared" si="1"/>
        <v>1.1295458800742422</v>
      </c>
    </row>
    <row r="21" spans="1:19" x14ac:dyDescent="0.2">
      <c r="A21" s="6" t="s">
        <v>31</v>
      </c>
      <c r="B21" s="7">
        <v>100</v>
      </c>
      <c r="C21" s="7">
        <v>400</v>
      </c>
      <c r="D21" s="7">
        <v>100</v>
      </c>
      <c r="E21" s="8">
        <f>D21*$C$2/G21</f>
        <v>2280.2937018287953</v>
      </c>
      <c r="F21" s="7">
        <f>G21/B21</f>
        <v>6</v>
      </c>
      <c r="G21" s="7">
        <f>SUM(B21:D21)</f>
        <v>600</v>
      </c>
      <c r="H21" s="9">
        <v>1</v>
      </c>
      <c r="I21" s="1">
        <v>65.17</v>
      </c>
      <c r="J21" s="10">
        <f>H21*6/I21</f>
        <v>9.2066901948749419E-2</v>
      </c>
      <c r="K21" s="11">
        <v>1</v>
      </c>
      <c r="L21" s="12">
        <f>(J21*F21)*$D$2*(E21/1000)*K21</f>
        <v>14.233903297590208</v>
      </c>
      <c r="M21" s="13">
        <f>L21/10</f>
        <v>1.4233903297590209</v>
      </c>
      <c r="O21" s="1">
        <v>28.428546671895617</v>
      </c>
      <c r="P21" s="1">
        <v>26.989335987895089</v>
      </c>
      <c r="Q21" s="1">
        <v>27.607841604284346</v>
      </c>
      <c r="R21" s="1">
        <f t="shared" si="0"/>
        <v>27.675241421358351</v>
      </c>
      <c r="S21" s="1">
        <f t="shared" si="1"/>
        <v>0.72196876645844188</v>
      </c>
    </row>
    <row r="23" spans="1:19" x14ac:dyDescent="0.2">
      <c r="N23" s="1" t="s">
        <v>23</v>
      </c>
      <c r="O23" s="1">
        <v>91.481605315971791</v>
      </c>
      <c r="P23" s="1">
        <v>92.484893111062235</v>
      </c>
      <c r="Q23" s="1">
        <v>87.843132377268375</v>
      </c>
      <c r="R23" s="1">
        <f t="shared" si="0"/>
        <v>90.603210268100796</v>
      </c>
      <c r="S23" s="1">
        <f t="shared" si="1"/>
        <v>2.4423695610084968</v>
      </c>
    </row>
    <row r="30" spans="1:19" x14ac:dyDescent="0.2">
      <c r="A30" s="14" t="s">
        <v>57</v>
      </c>
    </row>
    <row r="31" spans="1:19" x14ac:dyDescent="0.2">
      <c r="A31" s="3"/>
    </row>
    <row r="32" spans="1:19" x14ac:dyDescent="0.2">
      <c r="A32" s="5"/>
      <c r="B32" s="5" t="s">
        <v>4</v>
      </c>
      <c r="C32" s="5" t="s">
        <v>5</v>
      </c>
      <c r="D32" s="5" t="s">
        <v>6</v>
      </c>
      <c r="E32" s="5" t="s">
        <v>7</v>
      </c>
      <c r="F32" s="5" t="s">
        <v>8</v>
      </c>
      <c r="G32" s="5" t="s">
        <v>9</v>
      </c>
      <c r="H32" s="5" t="s">
        <v>10</v>
      </c>
      <c r="I32" s="5" t="s">
        <v>11</v>
      </c>
      <c r="J32" s="5" t="s">
        <v>12</v>
      </c>
      <c r="K32" s="5" t="s">
        <v>13</v>
      </c>
      <c r="L32" s="5" t="s">
        <v>14</v>
      </c>
      <c r="M32" s="5" t="s">
        <v>15</v>
      </c>
    </row>
    <row r="33" spans="1:13" x14ac:dyDescent="0.2">
      <c r="A33" s="6" t="s">
        <v>29</v>
      </c>
      <c r="B33" s="7">
        <v>100</v>
      </c>
      <c r="C33" s="7">
        <v>400</v>
      </c>
      <c r="D33" s="7">
        <v>100</v>
      </c>
      <c r="E33" s="8">
        <f>D33*$C$2/G33</f>
        <v>2280.2937018287953</v>
      </c>
      <c r="F33" s="7">
        <f>G33/B33</f>
        <v>6</v>
      </c>
      <c r="G33" s="7">
        <f>SUM(B33:D33)</f>
        <v>600</v>
      </c>
      <c r="H33" s="9">
        <v>1</v>
      </c>
      <c r="I33" s="1">
        <v>8.3000000000000007</v>
      </c>
      <c r="J33" s="10">
        <f>H33*6/I33</f>
        <v>0.72289156626506013</v>
      </c>
      <c r="K33" s="11">
        <v>1</v>
      </c>
      <c r="L33" s="12">
        <f>(J33*F33)*$D$2*(E33/1000)*K33</f>
        <v>111.76186480770528</v>
      </c>
      <c r="M33" s="13">
        <f>L33/10</f>
        <v>11.176186480770529</v>
      </c>
    </row>
    <row r="34" spans="1:13" x14ac:dyDescent="0.2">
      <c r="A34" s="6" t="s">
        <v>30</v>
      </c>
      <c r="B34" s="7">
        <v>100</v>
      </c>
      <c r="C34" s="7">
        <v>400</v>
      </c>
      <c r="D34" s="7">
        <v>100</v>
      </c>
      <c r="E34" s="8">
        <f>D34*$C$2/G34</f>
        <v>2280.2937018287953</v>
      </c>
      <c r="F34" s="7">
        <f>G34/B34</f>
        <v>6</v>
      </c>
      <c r="G34" s="7">
        <f>SUM(B34:D34)</f>
        <v>600</v>
      </c>
      <c r="H34" s="9">
        <v>1</v>
      </c>
      <c r="I34" s="1">
        <v>4.7300000000000004</v>
      </c>
      <c r="J34" s="10">
        <f>H34*6/I34</f>
        <v>1.2684989429175475</v>
      </c>
      <c r="K34" s="11">
        <v>1</v>
      </c>
      <c r="L34" s="12">
        <f>(J34*F34)*$D$2*(E34/1000)*K34</f>
        <v>196.11490019111076</v>
      </c>
      <c r="M34" s="13">
        <f>L34/10</f>
        <v>19.611490019111077</v>
      </c>
    </row>
    <row r="35" spans="1:13" x14ac:dyDescent="0.2">
      <c r="A35" s="6" t="s">
        <v>31</v>
      </c>
      <c r="B35" s="7">
        <v>100</v>
      </c>
      <c r="C35" s="7">
        <v>400</v>
      </c>
      <c r="D35" s="7">
        <v>100</v>
      </c>
      <c r="E35" s="8">
        <f>D35*$C$2/G35</f>
        <v>2280.2937018287953</v>
      </c>
      <c r="F35" s="7">
        <f>G35/B35</f>
        <v>6</v>
      </c>
      <c r="G35" s="7">
        <f>SUM(B35:D35)</f>
        <v>600</v>
      </c>
      <c r="H35" s="9">
        <v>1</v>
      </c>
      <c r="I35" s="1">
        <v>49.5</v>
      </c>
      <c r="J35" s="10">
        <f>H35*6/I35</f>
        <v>0.12121212121212122</v>
      </c>
      <c r="K35" s="11">
        <v>1</v>
      </c>
      <c r="L35" s="12">
        <f>(J35*F35)*$D$2*(E35/1000)*K35</f>
        <v>18.739868240483919</v>
      </c>
      <c r="M35" s="13">
        <f>L35/10</f>
        <v>1.8739868240483919</v>
      </c>
    </row>
    <row r="39" spans="1:13" x14ac:dyDescent="0.2">
      <c r="A39" s="14" t="s">
        <v>58</v>
      </c>
    </row>
    <row r="40" spans="1:13" x14ac:dyDescent="0.2">
      <c r="A40" s="3"/>
    </row>
    <row r="41" spans="1:13" x14ac:dyDescent="0.2">
      <c r="A41" s="5"/>
      <c r="B41" s="5" t="s">
        <v>4</v>
      </c>
      <c r="C41" s="5" t="s">
        <v>5</v>
      </c>
      <c r="D41" s="5" t="s">
        <v>6</v>
      </c>
      <c r="E41" s="5" t="s">
        <v>7</v>
      </c>
      <c r="F41" s="5" t="s">
        <v>8</v>
      </c>
      <c r="G41" s="5" t="s">
        <v>9</v>
      </c>
      <c r="H41" s="5" t="s">
        <v>10</v>
      </c>
      <c r="I41" s="5" t="s">
        <v>11</v>
      </c>
      <c r="J41" s="5" t="s">
        <v>12</v>
      </c>
      <c r="K41" s="5" t="s">
        <v>13</v>
      </c>
      <c r="L41" s="5" t="s">
        <v>14</v>
      </c>
      <c r="M41" s="5" t="s">
        <v>15</v>
      </c>
    </row>
    <row r="42" spans="1:13" x14ac:dyDescent="0.2">
      <c r="A42" s="6" t="s">
        <v>29</v>
      </c>
      <c r="B42" s="7">
        <v>100</v>
      </c>
      <c r="C42" s="7">
        <v>400</v>
      </c>
      <c r="D42" s="7">
        <v>100</v>
      </c>
      <c r="E42" s="8">
        <f>D42*$C$2/G42</f>
        <v>2280.2937018287953</v>
      </c>
      <c r="F42" s="7">
        <f>G42/B42</f>
        <v>6</v>
      </c>
      <c r="G42" s="7">
        <f>SUM(B42:D42)</f>
        <v>600</v>
      </c>
      <c r="H42" s="9">
        <v>1</v>
      </c>
      <c r="I42" s="1">
        <v>9.23</v>
      </c>
      <c r="J42" s="10">
        <f>H42*6/I42</f>
        <v>0.65005417118093167</v>
      </c>
      <c r="K42" s="11">
        <v>1</v>
      </c>
      <c r="L42" s="12">
        <f>(J42*F42)*$D$2*(E42/1000)*K42</f>
        <v>100.50091851613803</v>
      </c>
      <c r="M42" s="13">
        <f>L42/10</f>
        <v>10.050091851613804</v>
      </c>
    </row>
    <row r="43" spans="1:13" x14ac:dyDescent="0.2">
      <c r="A43" s="6" t="s">
        <v>30</v>
      </c>
      <c r="B43" s="7">
        <v>100</v>
      </c>
      <c r="C43" s="7">
        <v>400</v>
      </c>
      <c r="D43" s="7">
        <v>100</v>
      </c>
      <c r="E43" s="8">
        <f>D43*$C$2/G43</f>
        <v>2280.2937018287953</v>
      </c>
      <c r="F43" s="7">
        <f>G43/B43</f>
        <v>6</v>
      </c>
      <c r="G43" s="7">
        <f>SUM(B43:D43)</f>
        <v>600</v>
      </c>
      <c r="H43" s="9">
        <v>1</v>
      </c>
      <c r="I43" s="1">
        <v>4.9000000000000004</v>
      </c>
      <c r="J43" s="10">
        <f>H43*6/I43</f>
        <v>1.2244897959183672</v>
      </c>
      <c r="K43" s="11">
        <v>1</v>
      </c>
      <c r="L43" s="12">
        <f>(J43*F43)*$D$2*(E43/1000)*K43</f>
        <v>189.31091385794977</v>
      </c>
      <c r="M43" s="13">
        <f>L43/10</f>
        <v>18.931091385794979</v>
      </c>
    </row>
    <row r="44" spans="1:13" x14ac:dyDescent="0.2">
      <c r="A44" s="6" t="s">
        <v>31</v>
      </c>
      <c r="B44" s="7">
        <v>100</v>
      </c>
      <c r="C44" s="7">
        <v>400</v>
      </c>
      <c r="D44" s="7">
        <v>100</v>
      </c>
      <c r="E44" s="8">
        <f>D44*$C$2/G44</f>
        <v>2280.2937018287953</v>
      </c>
      <c r="F44" s="7">
        <f>G44/B44</f>
        <v>6</v>
      </c>
      <c r="G44" s="7">
        <f>SUM(B44:D44)</f>
        <v>600</v>
      </c>
      <c r="H44" s="9">
        <v>1</v>
      </c>
      <c r="I44" s="1">
        <v>44.07</v>
      </c>
      <c r="J44" s="10">
        <f>H44*6/I44</f>
        <v>0.13614703880190607</v>
      </c>
      <c r="K44" s="11">
        <v>1</v>
      </c>
      <c r="L44" s="12">
        <f>(J44*F44)*$D$2*(E44/1000)*K44</f>
        <v>21.048864939958115</v>
      </c>
      <c r="M44" s="13">
        <f>L44/10</f>
        <v>2.1048864939958114</v>
      </c>
    </row>
    <row r="46" spans="1:13" x14ac:dyDescent="0.2">
      <c r="A46" s="14" t="s">
        <v>59</v>
      </c>
    </row>
    <row r="47" spans="1:13" x14ac:dyDescent="0.2">
      <c r="A47" s="3"/>
    </row>
    <row r="48" spans="1:13" x14ac:dyDescent="0.2">
      <c r="A48" s="5"/>
      <c r="B48" s="5" t="s">
        <v>4</v>
      </c>
      <c r="C48" s="5" t="s">
        <v>5</v>
      </c>
      <c r="D48" s="5" t="s">
        <v>6</v>
      </c>
      <c r="E48" s="5" t="s">
        <v>7</v>
      </c>
      <c r="F48" s="5" t="s">
        <v>8</v>
      </c>
      <c r="G48" s="5" t="s">
        <v>9</v>
      </c>
      <c r="H48" s="5" t="s">
        <v>10</v>
      </c>
      <c r="I48" s="5" t="s">
        <v>11</v>
      </c>
      <c r="J48" s="5" t="s">
        <v>12</v>
      </c>
      <c r="K48" s="5" t="s">
        <v>13</v>
      </c>
      <c r="L48" s="5" t="s">
        <v>14</v>
      </c>
      <c r="M48" s="5" t="s">
        <v>15</v>
      </c>
    </row>
    <row r="49" spans="1:13" x14ac:dyDescent="0.2">
      <c r="A49" s="6" t="s">
        <v>29</v>
      </c>
      <c r="B49" s="7">
        <v>100</v>
      </c>
      <c r="C49" s="7">
        <v>400</v>
      </c>
      <c r="D49" s="7">
        <v>100</v>
      </c>
      <c r="E49" s="8">
        <f>D49*$C$2/G49</f>
        <v>2280.2937018287953</v>
      </c>
      <c r="F49" s="7">
        <f>G49/B49</f>
        <v>6</v>
      </c>
      <c r="G49" s="7">
        <f>SUM(B49:D49)</f>
        <v>600</v>
      </c>
      <c r="H49" s="9">
        <v>1</v>
      </c>
      <c r="I49" s="1">
        <v>9.65</v>
      </c>
      <c r="J49" s="10">
        <f>H49*6/I49</f>
        <v>0.62176165803108807</v>
      </c>
      <c r="K49" s="11">
        <v>1</v>
      </c>
      <c r="L49" s="12">
        <f>(J49*F49)*$D$2*(E49/1000)*K49</f>
        <v>96.126785275021135</v>
      </c>
      <c r="M49" s="13">
        <f>L49/10</f>
        <v>9.6126785275021138</v>
      </c>
    </row>
    <row r="50" spans="1:13" x14ac:dyDescent="0.2">
      <c r="A50" s="6" t="s">
        <v>30</v>
      </c>
      <c r="B50" s="7">
        <v>100</v>
      </c>
      <c r="C50" s="7">
        <v>400</v>
      </c>
      <c r="D50" s="7">
        <v>100</v>
      </c>
      <c r="E50" s="8">
        <f>D50*$C$2/G50</f>
        <v>2280.2937018287953</v>
      </c>
      <c r="F50" s="7">
        <f>G50/B50</f>
        <v>6</v>
      </c>
      <c r="G50" s="7">
        <f>SUM(B50:D50)</f>
        <v>600</v>
      </c>
      <c r="H50" s="9">
        <v>1</v>
      </c>
      <c r="I50" s="1">
        <v>5.75</v>
      </c>
      <c r="J50" s="10">
        <f>H50*6/I50</f>
        <v>1.0434782608695652</v>
      </c>
      <c r="K50" s="11">
        <v>1</v>
      </c>
      <c r="L50" s="12">
        <f>(J50*F50)*$D$2*(E50/1000)*K50</f>
        <v>161.32582224416592</v>
      </c>
      <c r="M50" s="13">
        <f>L50/10</f>
        <v>16.132582224416591</v>
      </c>
    </row>
    <row r="51" spans="1:13" x14ac:dyDescent="0.2">
      <c r="A51" s="6" t="s">
        <v>31</v>
      </c>
      <c r="B51" s="7">
        <v>100</v>
      </c>
      <c r="C51" s="7">
        <v>400</v>
      </c>
      <c r="D51" s="7">
        <v>100</v>
      </c>
      <c r="E51" s="8">
        <f>D51*$C$2/G51</f>
        <v>2280.2937018287953</v>
      </c>
      <c r="F51" s="7">
        <f>G51/B51</f>
        <v>6</v>
      </c>
      <c r="G51" s="7">
        <f>SUM(B51:D51)</f>
        <v>600</v>
      </c>
      <c r="H51" s="9">
        <v>1</v>
      </c>
      <c r="I51" s="1">
        <v>33.6</v>
      </c>
      <c r="J51" s="10">
        <f>H51*6/I51</f>
        <v>0.17857142857142858</v>
      </c>
      <c r="K51" s="11">
        <v>1</v>
      </c>
      <c r="L51" s="12">
        <f>(J51*F51)*$D$2*(E51/1000)*K51</f>
        <v>27.607841604284346</v>
      </c>
      <c r="M51" s="13">
        <f>L51/10</f>
        <v>2.7607841604284347</v>
      </c>
    </row>
    <row r="55" spans="1:13" x14ac:dyDescent="0.2">
      <c r="A55" s="3" t="s">
        <v>16</v>
      </c>
    </row>
    <row r="56" spans="1:13" x14ac:dyDescent="0.2">
      <c r="A56" s="5"/>
      <c r="B56" s="5" t="s">
        <v>4</v>
      </c>
      <c r="C56" s="5" t="s">
        <v>5</v>
      </c>
      <c r="D56" s="5" t="s">
        <v>6</v>
      </c>
      <c r="E56" s="5" t="s">
        <v>7</v>
      </c>
      <c r="F56" s="5" t="s">
        <v>8</v>
      </c>
      <c r="G56" s="5" t="s">
        <v>9</v>
      </c>
      <c r="H56" s="5" t="s">
        <v>10</v>
      </c>
      <c r="I56" s="5" t="s">
        <v>11</v>
      </c>
      <c r="J56" s="5" t="s">
        <v>12</v>
      </c>
      <c r="K56" s="5" t="s">
        <v>13</v>
      </c>
      <c r="L56" s="5" t="s">
        <v>14</v>
      </c>
      <c r="M56" s="5" t="s">
        <v>15</v>
      </c>
    </row>
    <row r="57" spans="1:13" x14ac:dyDescent="0.2">
      <c r="A57" s="6" t="s">
        <v>24</v>
      </c>
      <c r="B57" s="7">
        <v>100</v>
      </c>
      <c r="C57" s="7">
        <v>400</v>
      </c>
      <c r="D57" s="7">
        <v>100</v>
      </c>
      <c r="E57" s="8">
        <f>D57*$C$2/G57</f>
        <v>2280.2937018287953</v>
      </c>
      <c r="F57" s="7">
        <f>G57/B57</f>
        <v>6</v>
      </c>
      <c r="G57" s="7">
        <f>SUM(B57:D57)</f>
        <v>600</v>
      </c>
      <c r="H57" s="9">
        <v>1</v>
      </c>
      <c r="I57" s="1">
        <v>10.56</v>
      </c>
      <c r="J57" s="10">
        <f>H57*6/I57</f>
        <v>0.56818181818181812</v>
      </c>
      <c r="K57" s="11">
        <v>1</v>
      </c>
      <c r="L57" s="12">
        <f>(J57*F57)*$D$2*(E57/1000)*K57</f>
        <v>87.843132377268375</v>
      </c>
      <c r="M57" s="13">
        <f>L57/10</f>
        <v>8.7843132377268383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1A5C-A823-48C1-9DE5-9B651D7975B8}">
  <dimension ref="B2:N67"/>
  <sheetViews>
    <sheetView workbookViewId="0">
      <selection activeCell="G35" sqref="G35"/>
    </sheetView>
  </sheetViews>
  <sheetFormatPr baseColWidth="10" defaultColWidth="8.83203125" defaultRowHeight="15" x14ac:dyDescent="0.2"/>
  <sheetData>
    <row r="2" spans="2:14" x14ac:dyDescent="0.2">
      <c r="C2" s="14" t="s">
        <v>36</v>
      </c>
    </row>
    <row r="3" spans="2:14" x14ac:dyDescent="0.2">
      <c r="C3" t="s">
        <v>27</v>
      </c>
    </row>
    <row r="4" spans="2:14" x14ac:dyDescent="0.2">
      <c r="C4" s="14" t="s">
        <v>22</v>
      </c>
      <c r="G4" s="14" t="s">
        <v>17</v>
      </c>
      <c r="L4" s="14" t="s">
        <v>18</v>
      </c>
    </row>
    <row r="5" spans="2:14" x14ac:dyDescent="0.2">
      <c r="C5" t="s">
        <v>21</v>
      </c>
      <c r="D5" t="s">
        <v>19</v>
      </c>
      <c r="E5" t="s">
        <v>20</v>
      </c>
      <c r="G5" t="s">
        <v>21</v>
      </c>
      <c r="H5" t="s">
        <v>19</v>
      </c>
      <c r="I5" t="s">
        <v>20</v>
      </c>
      <c r="L5" t="s">
        <v>21</v>
      </c>
      <c r="M5" t="s">
        <v>19</v>
      </c>
      <c r="N5" t="s">
        <v>20</v>
      </c>
    </row>
    <row r="6" spans="2:14" x14ac:dyDescent="0.2">
      <c r="B6" t="s">
        <v>32</v>
      </c>
      <c r="C6">
        <v>200</v>
      </c>
      <c r="D6">
        <v>0.66400000000000003</v>
      </c>
      <c r="E6">
        <f>(D6/41199)*66430*C6</f>
        <v>214.12908080293215</v>
      </c>
      <c r="G6">
        <v>50</v>
      </c>
      <c r="H6">
        <v>9.2999999999999999E-2</v>
      </c>
      <c r="I6">
        <f>(H6/41199)*66430*G6</f>
        <v>7.4977426636568856</v>
      </c>
      <c r="L6">
        <v>300</v>
      </c>
      <c r="M6">
        <v>0.98499999999999999</v>
      </c>
      <c r="N6">
        <f>(M6/41199)*66430*L6</f>
        <v>476.46945314206653</v>
      </c>
    </row>
    <row r="7" spans="2:14" x14ac:dyDescent="0.2">
      <c r="B7" t="s">
        <v>33</v>
      </c>
      <c r="C7">
        <v>200</v>
      </c>
      <c r="D7">
        <v>0.71399999999999997</v>
      </c>
      <c r="E7">
        <f>(D7/41199)*66430*C7</f>
        <v>230.25325857423726</v>
      </c>
      <c r="G7">
        <v>50</v>
      </c>
      <c r="H7">
        <v>8.3000000000000004E-2</v>
      </c>
      <c r="I7">
        <f>(H7/41199)*66430*G7</f>
        <v>6.6915337750916297</v>
      </c>
      <c r="L7">
        <v>300</v>
      </c>
      <c r="M7">
        <v>0.98099999999999998</v>
      </c>
      <c r="N7">
        <f>(M7/41199)*66430*L7</f>
        <v>474.53455180950994</v>
      </c>
    </row>
    <row r="8" spans="2:14" x14ac:dyDescent="0.2">
      <c r="B8" t="s">
        <v>34</v>
      </c>
      <c r="C8">
        <v>200</v>
      </c>
      <c r="D8">
        <v>0.70599999999999996</v>
      </c>
      <c r="E8">
        <f>(D8/41199)*66430*C8</f>
        <v>227.67339013082841</v>
      </c>
      <c r="G8">
        <v>50</v>
      </c>
      <c r="H8">
        <v>7.8E-2</v>
      </c>
      <c r="I8">
        <f>(H8/41199)*66430*G8</f>
        <v>6.2884293308090005</v>
      </c>
      <c r="L8">
        <v>300</v>
      </c>
      <c r="M8">
        <v>0.98499999999999999</v>
      </c>
      <c r="N8">
        <f>(M8/41199)*66430*L8</f>
        <v>476.46945314206653</v>
      </c>
    </row>
    <row r="9" spans="2:14" x14ac:dyDescent="0.2">
      <c r="E9" s="14">
        <f>AVERAGE(E6:E8)</f>
        <v>224.01857650266592</v>
      </c>
      <c r="I9" s="14">
        <f>AVERAGE(I6:I8)</f>
        <v>6.8259019231858389</v>
      </c>
      <c r="N9" s="14">
        <f>AVERAGE(N6:N8)</f>
        <v>475.82448603121429</v>
      </c>
    </row>
    <row r="10" spans="2:14" x14ac:dyDescent="0.2">
      <c r="E10" s="14">
        <f>_xlfn.STDEV.P(E6:E8)</f>
        <v>7.0717995914577996</v>
      </c>
      <c r="I10" s="14">
        <f>_xlfn.STDEV.P(I6:I8)</f>
        <v>0.50275957386383363</v>
      </c>
      <c r="N10" s="14">
        <f>_xlfn.STDEV.P(N6:N8)</f>
        <v>0.91212123545176893</v>
      </c>
    </row>
    <row r="13" spans="2:14" x14ac:dyDescent="0.2">
      <c r="C13" s="14" t="s">
        <v>26</v>
      </c>
    </row>
    <row r="14" spans="2:14" x14ac:dyDescent="0.2">
      <c r="C14" t="s">
        <v>35</v>
      </c>
    </row>
    <row r="15" spans="2:14" x14ac:dyDescent="0.2">
      <c r="C15" t="s">
        <v>22</v>
      </c>
      <c r="G15" t="s">
        <v>17</v>
      </c>
      <c r="L15" t="s">
        <v>18</v>
      </c>
    </row>
    <row r="16" spans="2:14" x14ac:dyDescent="0.2">
      <c r="C16" t="s">
        <v>21</v>
      </c>
      <c r="D16" t="s">
        <v>19</v>
      </c>
      <c r="E16" t="s">
        <v>20</v>
      </c>
      <c r="G16" t="s">
        <v>21</v>
      </c>
      <c r="H16" t="s">
        <v>19</v>
      </c>
      <c r="I16" t="s">
        <v>20</v>
      </c>
      <c r="L16" t="s">
        <v>21</v>
      </c>
      <c r="M16" t="s">
        <v>19</v>
      </c>
      <c r="N16" t="s">
        <v>20</v>
      </c>
    </row>
    <row r="17" spans="2:14" x14ac:dyDescent="0.2">
      <c r="B17" t="s">
        <v>32</v>
      </c>
      <c r="C17">
        <v>200</v>
      </c>
      <c r="D17">
        <v>0.64300000000000002</v>
      </c>
      <c r="E17">
        <f>(D17/41199)*66430*C17</f>
        <v>207.35692613898397</v>
      </c>
      <c r="G17">
        <v>50</v>
      </c>
      <c r="H17">
        <v>0.17199999999999999</v>
      </c>
      <c r="I17">
        <f>(H17/41199)*66430*G17</f>
        <v>13.866792883322409</v>
      </c>
      <c r="L17">
        <v>300</v>
      </c>
      <c r="M17">
        <v>0.91600000000000004</v>
      </c>
      <c r="N17">
        <f>(M17/41199)*66430*L17</f>
        <v>443.09240515546497</v>
      </c>
    </row>
    <row r="18" spans="2:14" x14ac:dyDescent="0.2">
      <c r="B18" t="s">
        <v>33</v>
      </c>
      <c r="C18">
        <v>200</v>
      </c>
      <c r="D18">
        <v>0.67300000000000004</v>
      </c>
      <c r="E18">
        <f>(D18/41199)*66430*C18</f>
        <v>217.03143280176707</v>
      </c>
      <c r="G18">
        <v>50</v>
      </c>
      <c r="H18">
        <v>0.13100000000000001</v>
      </c>
      <c r="I18">
        <f>(H18/41199)*66430*G18</f>
        <v>10.56133644020486</v>
      </c>
      <c r="L18">
        <v>300</v>
      </c>
      <c r="M18">
        <v>0.91400000000000003</v>
      </c>
      <c r="N18">
        <f>(M18/41199)*66430*L18</f>
        <v>442.12495448918668</v>
      </c>
    </row>
    <row r="19" spans="2:14" x14ac:dyDescent="0.2">
      <c r="B19" t="s">
        <v>34</v>
      </c>
      <c r="C19">
        <v>200</v>
      </c>
      <c r="D19">
        <v>0.73399999999999999</v>
      </c>
      <c r="E19">
        <f>(D19/41199)*66430*C19</f>
        <v>236.70292968275928</v>
      </c>
      <c r="G19">
        <v>50</v>
      </c>
      <c r="H19">
        <v>0.13</v>
      </c>
      <c r="I19">
        <f>(H19/41199)*66430*G19</f>
        <v>10.480715551348334</v>
      </c>
      <c r="L19">
        <v>300</v>
      </c>
      <c r="M19">
        <v>0.97099999999999997</v>
      </c>
      <c r="N19">
        <f>(M19/41199)*66430*L19</f>
        <v>469.69729847811846</v>
      </c>
    </row>
    <row r="20" spans="2:14" x14ac:dyDescent="0.2">
      <c r="E20" s="14">
        <f>AVERAGE(E17:E19)</f>
        <v>220.36376287450344</v>
      </c>
      <c r="I20" s="14">
        <f>AVERAGE(I17:I19)</f>
        <v>11.636281624958535</v>
      </c>
      <c r="N20" s="14">
        <f>AVERAGE(N17:N19)</f>
        <v>451.63821937425672</v>
      </c>
    </row>
    <row r="21" spans="2:14" x14ac:dyDescent="0.2">
      <c r="E21" s="14">
        <f>_xlfn.STDEV.P(E17:E19)</f>
        <v>12.20997676173234</v>
      </c>
      <c r="I21" s="14">
        <f>_xlfn.STDEV.P(I17:I19)</f>
        <v>1.5775530180622541</v>
      </c>
      <c r="N21" s="14">
        <f>_xlfn.STDEV.P(N17:N19)</f>
        <v>12.775803790957676</v>
      </c>
    </row>
    <row r="24" spans="2:14" x14ac:dyDescent="0.2">
      <c r="C24" t="s">
        <v>57</v>
      </c>
    </row>
    <row r="25" spans="2:14" x14ac:dyDescent="0.2">
      <c r="C25" t="s">
        <v>35</v>
      </c>
    </row>
    <row r="26" spans="2:14" x14ac:dyDescent="0.2">
      <c r="C26" t="s">
        <v>22</v>
      </c>
      <c r="G26" t="s">
        <v>17</v>
      </c>
      <c r="L26" t="s">
        <v>18</v>
      </c>
    </row>
    <row r="27" spans="2:14" x14ac:dyDescent="0.2">
      <c r="C27" t="s">
        <v>21</v>
      </c>
      <c r="D27" t="s">
        <v>19</v>
      </c>
      <c r="E27" t="s">
        <v>20</v>
      </c>
      <c r="G27" t="s">
        <v>21</v>
      </c>
      <c r="H27" t="s">
        <v>19</v>
      </c>
      <c r="I27" t="s">
        <v>20</v>
      </c>
      <c r="L27" t="s">
        <v>21</v>
      </c>
      <c r="M27" t="s">
        <v>19</v>
      </c>
      <c r="N27" t="s">
        <v>20</v>
      </c>
    </row>
    <row r="28" spans="2:14" x14ac:dyDescent="0.2">
      <c r="B28" t="s">
        <v>32</v>
      </c>
      <c r="C28">
        <v>200</v>
      </c>
      <c r="D28">
        <v>0.67</v>
      </c>
      <c r="E28">
        <f>(D28/41199)*66430*C28</f>
        <v>216.06398213548869</v>
      </c>
      <c r="G28">
        <v>50</v>
      </c>
      <c r="H28">
        <v>0.187</v>
      </c>
      <c r="I28">
        <f>(H28/41199)*66430*G28</f>
        <v>15.076106216170293</v>
      </c>
      <c r="L28">
        <v>300</v>
      </c>
      <c r="M28">
        <v>0.91</v>
      </c>
      <c r="N28">
        <f>(M28/41199)*66430*L28</f>
        <v>440.19005315663003</v>
      </c>
    </row>
    <row r="29" spans="2:14" x14ac:dyDescent="0.2">
      <c r="B29" t="s">
        <v>33</v>
      </c>
      <c r="C29">
        <v>200</v>
      </c>
      <c r="D29">
        <v>0.65900000000000003</v>
      </c>
      <c r="E29">
        <f>(D29/41199)*66430*C29</f>
        <v>212.51666302580162</v>
      </c>
      <c r="G29">
        <v>50</v>
      </c>
      <c r="H29">
        <v>0.224</v>
      </c>
      <c r="I29">
        <f>(H29/41199)*66430*G29</f>
        <v>18.059079103861745</v>
      </c>
      <c r="L29">
        <v>300</v>
      </c>
      <c r="M29">
        <v>0.90100000000000002</v>
      </c>
      <c r="N29">
        <f>(M29/41199)*66430*L29</f>
        <v>435.83652515837764</v>
      </c>
    </row>
    <row r="30" spans="2:14" x14ac:dyDescent="0.2">
      <c r="B30" t="s">
        <v>34</v>
      </c>
      <c r="C30">
        <v>200</v>
      </c>
      <c r="D30">
        <v>0.629</v>
      </c>
      <c r="E30">
        <f>(D30/41199)*66430*C30</f>
        <v>202.84215636301855</v>
      </c>
      <c r="G30">
        <v>50</v>
      </c>
      <c r="H30">
        <v>0.315</v>
      </c>
      <c r="I30">
        <f>(H30/41199)*66430*G30</f>
        <v>25.395579989805579</v>
      </c>
      <c r="L30">
        <v>300</v>
      </c>
      <c r="M30">
        <v>0.80900000000000005</v>
      </c>
      <c r="N30">
        <f>(M30/41199)*66430*L30</f>
        <v>391.33379450957545</v>
      </c>
    </row>
    <row r="31" spans="2:14" x14ac:dyDescent="0.2">
      <c r="E31" s="14">
        <f>AVERAGE(E28:E30)</f>
        <v>210.47426717476961</v>
      </c>
      <c r="I31" s="14">
        <f>AVERAGE(I28:I30)</f>
        <v>19.510255103279206</v>
      </c>
      <c r="N31" s="14">
        <f>AVERAGE(N28:N30)</f>
        <v>422.45345760819436</v>
      </c>
    </row>
    <row r="32" spans="2:14" x14ac:dyDescent="0.2">
      <c r="E32" s="14">
        <f>_xlfn.STDEV.P(E28:E30)</f>
        <v>5.5876473760503451</v>
      </c>
      <c r="I32" s="14">
        <f>_xlfn.STDEV.P(I28:I30)</f>
        <v>4.3360749207203906</v>
      </c>
      <c r="N32" s="14">
        <f>_xlfn.STDEV.P(N28:N30)</f>
        <v>22.076584503896882</v>
      </c>
    </row>
    <row r="36" spans="2:14" x14ac:dyDescent="0.2">
      <c r="C36" s="14" t="s">
        <v>58</v>
      </c>
    </row>
    <row r="37" spans="2:14" x14ac:dyDescent="0.2">
      <c r="C37" t="s">
        <v>35</v>
      </c>
    </row>
    <row r="38" spans="2:14" x14ac:dyDescent="0.2">
      <c r="C38" s="14" t="s">
        <v>22</v>
      </c>
      <c r="G38" s="14" t="s">
        <v>17</v>
      </c>
      <c r="L38" s="14" t="s">
        <v>18</v>
      </c>
    </row>
    <row r="39" spans="2:14" x14ac:dyDescent="0.2">
      <c r="C39" t="s">
        <v>21</v>
      </c>
      <c r="D39" t="s">
        <v>19</v>
      </c>
      <c r="E39" t="s">
        <v>20</v>
      </c>
      <c r="G39" t="s">
        <v>21</v>
      </c>
      <c r="H39" t="s">
        <v>19</v>
      </c>
      <c r="I39" t="s">
        <v>20</v>
      </c>
      <c r="L39" t="s">
        <v>21</v>
      </c>
      <c r="M39" t="s">
        <v>19</v>
      </c>
      <c r="N39" t="s">
        <v>20</v>
      </c>
    </row>
    <row r="40" spans="2:14" x14ac:dyDescent="0.2">
      <c r="B40" t="s">
        <v>32</v>
      </c>
      <c r="C40">
        <v>200</v>
      </c>
      <c r="D40">
        <v>0.57299999999999995</v>
      </c>
      <c r="E40">
        <f>(D40/41199)*66430*C40</f>
        <v>184.78307725915676</v>
      </c>
      <c r="G40">
        <v>50</v>
      </c>
      <c r="H40">
        <v>0.29599999999999999</v>
      </c>
      <c r="I40">
        <f>(H40/41199)*66430*G40</f>
        <v>23.863783101531588</v>
      </c>
      <c r="L40">
        <v>300</v>
      </c>
      <c r="M40">
        <v>0.84699999999999998</v>
      </c>
      <c r="N40">
        <f>(M40/41199)*66430*L40</f>
        <v>409.71535716886336</v>
      </c>
    </row>
    <row r="41" spans="2:14" x14ac:dyDescent="0.2">
      <c r="B41" t="s">
        <v>33</v>
      </c>
      <c r="C41">
        <v>200</v>
      </c>
      <c r="D41">
        <v>0.629</v>
      </c>
      <c r="E41">
        <f>(D41/41199)*66430*C41</f>
        <v>202.84215636301855</v>
      </c>
      <c r="G41">
        <v>50</v>
      </c>
      <c r="H41">
        <v>0.315</v>
      </c>
      <c r="I41">
        <f>(H41/41199)*66430*G41</f>
        <v>25.395579989805579</v>
      </c>
      <c r="L41">
        <v>300</v>
      </c>
      <c r="M41">
        <v>0.80900000000000005</v>
      </c>
      <c r="N41">
        <f>(M41/41199)*66430*L41</f>
        <v>391.33379450957545</v>
      </c>
    </row>
    <row r="42" spans="2:14" x14ac:dyDescent="0.2">
      <c r="B42" t="s">
        <v>34</v>
      </c>
      <c r="C42">
        <v>200</v>
      </c>
      <c r="D42">
        <v>0.61599999999999999</v>
      </c>
      <c r="E42">
        <f>(D42/41199)*66430*C42</f>
        <v>198.64987014247919</v>
      </c>
      <c r="G42">
        <v>50</v>
      </c>
      <c r="H42">
        <v>0.27800000000000002</v>
      </c>
      <c r="I42">
        <f>(H42/41199)*66430*G42</f>
        <v>22.412607102114134</v>
      </c>
      <c r="L42">
        <v>300</v>
      </c>
      <c r="M42">
        <v>0.83199999999999996</v>
      </c>
      <c r="N42">
        <f>(M42/41199)*66430*L42</f>
        <v>402.45947717177597</v>
      </c>
    </row>
    <row r="43" spans="2:14" x14ac:dyDescent="0.2">
      <c r="E43" s="14">
        <f>AVERAGE(E40:E42)</f>
        <v>195.42503458821815</v>
      </c>
      <c r="I43" s="14">
        <f>AVERAGE(I40:I42)</f>
        <v>23.890656731150433</v>
      </c>
      <c r="N43" s="14">
        <f>AVERAGE(N40:N42)</f>
        <v>401.16954295007162</v>
      </c>
    </row>
    <row r="44" spans="2:14" x14ac:dyDescent="0.2">
      <c r="E44" s="14">
        <f>_xlfn.STDEV.P(E40:E42)</f>
        <v>7.7171781450607062</v>
      </c>
      <c r="I44" s="14">
        <f>_xlfn.STDEV.P(I40:I42)</f>
        <v>1.2179418311649723</v>
      </c>
      <c r="N44" s="14">
        <f>_xlfn.STDEV.P(N40:N42)</f>
        <v>7.5594712853732897</v>
      </c>
    </row>
    <row r="47" spans="2:14" x14ac:dyDescent="0.2">
      <c r="C47" s="14" t="s">
        <v>59</v>
      </c>
    </row>
    <row r="48" spans="2:14" x14ac:dyDescent="0.2">
      <c r="C48" t="s">
        <v>35</v>
      </c>
    </row>
    <row r="49" spans="2:14" x14ac:dyDescent="0.2">
      <c r="C49" t="s">
        <v>22</v>
      </c>
      <c r="G49" t="s">
        <v>17</v>
      </c>
      <c r="L49" t="s">
        <v>18</v>
      </c>
    </row>
    <row r="50" spans="2:14" x14ac:dyDescent="0.2">
      <c r="C50" t="s">
        <v>21</v>
      </c>
      <c r="D50" t="s">
        <v>19</v>
      </c>
      <c r="E50" t="s">
        <v>20</v>
      </c>
      <c r="G50" t="s">
        <v>21</v>
      </c>
      <c r="H50" t="s">
        <v>19</v>
      </c>
      <c r="I50" t="s">
        <v>20</v>
      </c>
      <c r="L50" t="s">
        <v>21</v>
      </c>
      <c r="M50" t="s">
        <v>19</v>
      </c>
      <c r="N50" t="s">
        <v>20</v>
      </c>
    </row>
    <row r="51" spans="2:14" x14ac:dyDescent="0.2">
      <c r="B51" t="s">
        <v>32</v>
      </c>
      <c r="C51">
        <v>200</v>
      </c>
      <c r="D51">
        <v>0.57999999999999996</v>
      </c>
      <c r="E51">
        <f>(D51/41199)*66430*C51</f>
        <v>187.04046214713946</v>
      </c>
      <c r="G51">
        <v>50</v>
      </c>
      <c r="H51">
        <v>0.53200000000000003</v>
      </c>
      <c r="I51">
        <f>(H51/41199)*66430*G51</f>
        <v>42.89031287167164</v>
      </c>
      <c r="L51">
        <v>300</v>
      </c>
      <c r="M51">
        <v>0.77600000000000002</v>
      </c>
      <c r="N51">
        <f>(M51/41199)*66430*L51</f>
        <v>375.37085851598346</v>
      </c>
    </row>
    <row r="52" spans="2:14" x14ac:dyDescent="0.2">
      <c r="B52" t="s">
        <v>33</v>
      </c>
      <c r="C52">
        <v>200</v>
      </c>
      <c r="D52">
        <v>0.55900000000000005</v>
      </c>
      <c r="E52">
        <f>(D52/41199)*66430*C52</f>
        <v>180.26830748319136</v>
      </c>
      <c r="G52">
        <v>50</v>
      </c>
      <c r="H52">
        <v>0.49399999999999999</v>
      </c>
      <c r="I52">
        <f>(H52/41199)*66430*G52</f>
        <v>39.826719095123671</v>
      </c>
      <c r="L52">
        <v>300</v>
      </c>
      <c r="M52">
        <v>0.77700000000000002</v>
      </c>
      <c r="N52">
        <f>(M52/41199)*66430*L52</f>
        <v>375.8545838491226</v>
      </c>
    </row>
    <row r="53" spans="2:14" x14ac:dyDescent="0.2">
      <c r="B53" t="s">
        <v>34</v>
      </c>
      <c r="C53">
        <v>200</v>
      </c>
      <c r="D53">
        <v>0.59099999999999997</v>
      </c>
      <c r="E53">
        <f>(D53/41199)*66430*C53</f>
        <v>190.58778125682662</v>
      </c>
      <c r="G53">
        <v>50</v>
      </c>
      <c r="H53">
        <v>0.52400000000000002</v>
      </c>
      <c r="I53">
        <f>(H53/41199)*66430*G53</f>
        <v>42.24534576081944</v>
      </c>
      <c r="L53">
        <v>300</v>
      </c>
      <c r="M53">
        <v>0.77400000000000002</v>
      </c>
      <c r="N53">
        <f>(M53/41199)*66430*L53</f>
        <v>374.4034078497051</v>
      </c>
    </row>
    <row r="54" spans="2:14" x14ac:dyDescent="0.2">
      <c r="E54" s="14">
        <f>AVERAGE(E51:E53)</f>
        <v>185.96551696238581</v>
      </c>
      <c r="I54" s="14">
        <f>AVERAGE(I51:I53)</f>
        <v>41.654125909204915</v>
      </c>
      <c r="N54" s="14">
        <f>AVERAGE(N51:N53)</f>
        <v>375.20961673827043</v>
      </c>
    </row>
    <row r="55" spans="2:14" x14ac:dyDescent="0.2">
      <c r="E55" s="14">
        <f>_xlfn.STDEV.P(E51:E53)</f>
        <v>4.2809278670131965</v>
      </c>
      <c r="I55" s="14">
        <f>_xlfn.STDEV.P(I51:I53)</f>
        <v>1.3187259992465417</v>
      </c>
      <c r="N55" s="14">
        <f>_xlfn.STDEV.P(N51:N53)</f>
        <v>0.60331148863661821</v>
      </c>
    </row>
    <row r="59" spans="2:14" x14ac:dyDescent="0.2">
      <c r="C59" t="s">
        <v>23</v>
      </c>
    </row>
    <row r="60" spans="2:14" x14ac:dyDescent="0.2">
      <c r="C60" t="s">
        <v>35</v>
      </c>
    </row>
    <row r="61" spans="2:14" x14ac:dyDescent="0.2">
      <c r="C61" t="s">
        <v>22</v>
      </c>
    </row>
    <row r="62" spans="2:14" x14ac:dyDescent="0.2">
      <c r="C62" t="s">
        <v>21</v>
      </c>
      <c r="D62" t="s">
        <v>19</v>
      </c>
      <c r="E62" t="s">
        <v>20</v>
      </c>
    </row>
    <row r="63" spans="2:14" x14ac:dyDescent="0.2">
      <c r="B63" t="s">
        <v>32</v>
      </c>
      <c r="C63">
        <v>200</v>
      </c>
      <c r="D63">
        <v>0.56000000000000005</v>
      </c>
      <c r="E63">
        <f>(D63/41199)*66430*C63</f>
        <v>180.59079103861745</v>
      </c>
    </row>
    <row r="64" spans="2:14" x14ac:dyDescent="0.2">
      <c r="B64" t="s">
        <v>33</v>
      </c>
      <c r="C64">
        <v>200</v>
      </c>
      <c r="D64">
        <v>0.55000000000000004</v>
      </c>
      <c r="E64">
        <f>(D64/41199)*66430*C64</f>
        <v>177.36595548435642</v>
      </c>
    </row>
    <row r="65" spans="2:14" x14ac:dyDescent="0.2">
      <c r="B65" t="s">
        <v>34</v>
      </c>
      <c r="C65">
        <v>200</v>
      </c>
      <c r="D65">
        <v>0.51900000000000002</v>
      </c>
      <c r="E65">
        <f>(D65/41199)*66430*C65</f>
        <v>167.36896526614726</v>
      </c>
      <c r="I65" s="14"/>
      <c r="N65" s="14"/>
    </row>
    <row r="66" spans="2:14" x14ac:dyDescent="0.2">
      <c r="E66" s="14">
        <f>AVERAGE(E63:E65)</f>
        <v>175.10857059637371</v>
      </c>
      <c r="I66" s="14"/>
      <c r="N66" s="14"/>
    </row>
    <row r="67" spans="2:14" x14ac:dyDescent="0.2">
      <c r="E67" s="14">
        <f>_xlfn.STDEV.P(E63:E65)</f>
        <v>5.6288547733240142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3E4A-E851-4C11-94BC-525FDA26358A}">
  <dimension ref="C3:H23"/>
  <sheetViews>
    <sheetView workbookViewId="0">
      <selection activeCell="C3" sqref="C3:H23"/>
    </sheetView>
  </sheetViews>
  <sheetFormatPr baseColWidth="10" defaultColWidth="8.83203125" defaultRowHeight="15" x14ac:dyDescent="0.2"/>
  <sheetData>
    <row r="3" spans="3:8" x14ac:dyDescent="0.2">
      <c r="D3" s="14" t="s">
        <v>37</v>
      </c>
      <c r="E3" s="14"/>
      <c r="F3" s="14"/>
      <c r="G3" s="14" t="s">
        <v>38</v>
      </c>
      <c r="H3" s="14"/>
    </row>
    <row r="4" spans="3:8" x14ac:dyDescent="0.2">
      <c r="D4" s="14" t="s">
        <v>39</v>
      </c>
      <c r="E4" s="14" t="s">
        <v>40</v>
      </c>
      <c r="F4" s="14"/>
      <c r="G4" s="14" t="s">
        <v>39</v>
      </c>
      <c r="H4" s="14" t="s">
        <v>40</v>
      </c>
    </row>
    <row r="5" spans="3:8" x14ac:dyDescent="0.2">
      <c r="C5" t="s">
        <v>41</v>
      </c>
      <c r="D5">
        <v>224.01857650266592</v>
      </c>
      <c r="E5">
        <v>7.0717995914577996</v>
      </c>
      <c r="G5">
        <v>118.51696409820859</v>
      </c>
      <c r="H5">
        <v>2.8767374174898221</v>
      </c>
    </row>
    <row r="6" spans="3:8" x14ac:dyDescent="0.2">
      <c r="C6" t="s">
        <v>42</v>
      </c>
      <c r="D6">
        <v>220.36376287450344</v>
      </c>
      <c r="E6">
        <v>12.20997676173234</v>
      </c>
      <c r="G6">
        <v>113.28750457633778</v>
      </c>
      <c r="H6">
        <v>2.0486760288610486</v>
      </c>
    </row>
    <row r="7" spans="3:8" x14ac:dyDescent="0.2">
      <c r="C7" t="s">
        <v>43</v>
      </c>
      <c r="D7">
        <v>210.47426717476961</v>
      </c>
      <c r="E7">
        <v>5.5876473760503451</v>
      </c>
      <c r="G7">
        <v>109.70467875136542</v>
      </c>
      <c r="H7">
        <v>4.7922017384081927</v>
      </c>
    </row>
    <row r="8" spans="3:8" x14ac:dyDescent="0.2">
      <c r="C8" t="s">
        <v>44</v>
      </c>
      <c r="D8">
        <v>195.42503458821815</v>
      </c>
      <c r="E8">
        <v>7.7171781450607062</v>
      </c>
      <c r="G8">
        <v>104.34706564326807</v>
      </c>
      <c r="H8">
        <v>5.6445758233140495</v>
      </c>
    </row>
    <row r="9" spans="3:8" x14ac:dyDescent="0.2">
      <c r="C9" t="s">
        <v>45</v>
      </c>
      <c r="D9">
        <v>185.96551696238581</v>
      </c>
      <c r="E9">
        <v>4.2809278670131965</v>
      </c>
      <c r="G9">
        <v>99.372107342682781</v>
      </c>
      <c r="H9">
        <v>2.8367575629154356</v>
      </c>
    </row>
    <row r="11" spans="3:8" x14ac:dyDescent="0.2">
      <c r="C11" t="s">
        <v>46</v>
      </c>
      <c r="D11">
        <v>6.8259019231858389</v>
      </c>
      <c r="E11">
        <v>0.50275957386383363</v>
      </c>
      <c r="G11">
        <v>222.16574750076848</v>
      </c>
      <c r="H11">
        <v>4.7741909877629443</v>
      </c>
    </row>
    <row r="12" spans="3:8" x14ac:dyDescent="0.2">
      <c r="C12" t="s">
        <v>47</v>
      </c>
      <c r="D12">
        <v>11.636281624958535</v>
      </c>
      <c r="E12">
        <v>1.5775530180622541</v>
      </c>
      <c r="G12">
        <v>205.55108327445666</v>
      </c>
      <c r="H12">
        <v>7.3584189054675671</v>
      </c>
    </row>
    <row r="13" spans="3:8" x14ac:dyDescent="0.2">
      <c r="C13" t="s">
        <v>48</v>
      </c>
      <c r="D13">
        <v>19.510255103279206</v>
      </c>
      <c r="E13">
        <v>4.3360749207203906</v>
      </c>
      <c r="G13">
        <v>192.07808077635636</v>
      </c>
      <c r="H13">
        <v>6.6368879613170897</v>
      </c>
    </row>
    <row r="14" spans="3:8" x14ac:dyDescent="0.2">
      <c r="C14" t="s">
        <v>49</v>
      </c>
      <c r="D14">
        <v>23.890656731150433</v>
      </c>
      <c r="E14">
        <v>1.2179418311649723</v>
      </c>
      <c r="G14">
        <v>181.35208334255421</v>
      </c>
      <c r="H14">
        <v>8.8747621573981164</v>
      </c>
    </row>
    <row r="15" spans="3:8" x14ac:dyDescent="0.2">
      <c r="C15" t="s">
        <v>50</v>
      </c>
      <c r="D15">
        <v>41.654125909204915</v>
      </c>
      <c r="E15">
        <v>1.3187259992465417</v>
      </c>
      <c r="G15">
        <v>162.90065521163098</v>
      </c>
      <c r="H15">
        <v>3.9931194357844522</v>
      </c>
    </row>
    <row r="17" spans="3:8" x14ac:dyDescent="0.2">
      <c r="C17" t="s">
        <v>51</v>
      </c>
      <c r="D17">
        <v>475.82448603121429</v>
      </c>
      <c r="E17">
        <v>0.91212123545176893</v>
      </c>
      <c r="G17">
        <v>13.126161575350539</v>
      </c>
      <c r="H17">
        <v>2.564679508700547</v>
      </c>
    </row>
    <row r="18" spans="3:8" x14ac:dyDescent="0.2">
      <c r="C18" t="s">
        <v>52</v>
      </c>
      <c r="D18">
        <v>451.63821937425672</v>
      </c>
      <c r="E18">
        <v>12.775803790957676</v>
      </c>
      <c r="G18">
        <v>14.471158421773843</v>
      </c>
      <c r="H18">
        <v>0.39775679796935487</v>
      </c>
    </row>
    <row r="19" spans="3:8" x14ac:dyDescent="0.2">
      <c r="C19" t="s">
        <v>53</v>
      </c>
      <c r="D19">
        <v>422.45345760819436</v>
      </c>
      <c r="E19">
        <v>22.076584503896882</v>
      </c>
      <c r="G19">
        <v>17.627815920144595</v>
      </c>
      <c r="H19">
        <v>1.603802807997954</v>
      </c>
    </row>
    <row r="20" spans="3:8" x14ac:dyDescent="0.2">
      <c r="C20" t="s">
        <v>54</v>
      </c>
      <c r="D20">
        <v>401.16954295007162</v>
      </c>
      <c r="E20">
        <v>7.5594712853732897</v>
      </c>
      <c r="G20">
        <v>20.308820801247681</v>
      </c>
      <c r="H20">
        <v>1.1295458800742422</v>
      </c>
    </row>
    <row r="21" spans="3:8" x14ac:dyDescent="0.2">
      <c r="C21" t="s">
        <v>55</v>
      </c>
      <c r="D21">
        <v>375.20961673827043</v>
      </c>
      <c r="E21">
        <v>0.60331148863661821</v>
      </c>
      <c r="G21">
        <v>27.675241421358351</v>
      </c>
      <c r="H21">
        <v>0.72196876645844188</v>
      </c>
    </row>
    <row r="23" spans="3:8" x14ac:dyDescent="0.2">
      <c r="C23" t="s">
        <v>16</v>
      </c>
      <c r="D23">
        <v>175.10857059637371</v>
      </c>
      <c r="E23">
        <v>5.6288547733240142</v>
      </c>
      <c r="G23">
        <v>90.603210268100796</v>
      </c>
      <c r="H23">
        <v>2.4423695610084968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2EE2-9407-A74E-B82A-27FCF647951A}">
  <dimension ref="A1:P19"/>
  <sheetViews>
    <sheetView tabSelected="1" workbookViewId="0">
      <selection activeCell="R29" sqref="R29"/>
    </sheetView>
  </sheetViews>
  <sheetFormatPr baseColWidth="10" defaultRowHeight="15" x14ac:dyDescent="0.2"/>
  <sheetData>
    <row r="1" spans="1:16" x14ac:dyDescent="0.2">
      <c r="A1" s="16">
        <v>224.01857650266592</v>
      </c>
      <c r="B1" s="16">
        <v>7.0717995914577996</v>
      </c>
      <c r="C1" s="16">
        <v>6.8259019231858389</v>
      </c>
      <c r="D1" s="16">
        <v>0.50275957386383363</v>
      </c>
      <c r="E1" s="16">
        <v>475.82448603121429</v>
      </c>
      <c r="F1" s="16">
        <v>0.91212123545176893</v>
      </c>
      <c r="G1" s="16">
        <v>118.51696409820859</v>
      </c>
      <c r="H1" s="16">
        <v>2.8767374174898221</v>
      </c>
      <c r="I1" s="16">
        <v>222.16574750076848</v>
      </c>
      <c r="J1" s="16">
        <v>4.7741909877629443</v>
      </c>
      <c r="K1" s="16">
        <v>13.126161575350539</v>
      </c>
      <c r="L1" s="16">
        <v>2.564679508700547</v>
      </c>
      <c r="M1" s="16">
        <v>175.10857059637371</v>
      </c>
      <c r="N1" s="16">
        <v>5.6288547733240142</v>
      </c>
      <c r="O1" s="16">
        <v>90.603210268100796</v>
      </c>
      <c r="P1" s="16">
        <v>2.4423695610084968</v>
      </c>
    </row>
    <row r="2" spans="1:16" x14ac:dyDescent="0.2">
      <c r="A2" s="16">
        <v>220.36376287450344</v>
      </c>
      <c r="B2" s="16">
        <v>12.20997676173234</v>
      </c>
      <c r="C2" s="16">
        <v>11.636281624958535</v>
      </c>
      <c r="D2" s="16">
        <v>1.5775530180622541</v>
      </c>
      <c r="E2" s="16">
        <v>451.63821937425672</v>
      </c>
      <c r="F2" s="16">
        <v>12.775803790957676</v>
      </c>
      <c r="G2" s="16">
        <v>113.28750457633778</v>
      </c>
      <c r="H2" s="16">
        <v>2.0486760288610486</v>
      </c>
      <c r="I2" s="16">
        <v>205.55108327445666</v>
      </c>
      <c r="J2" s="16">
        <v>7.3584189054675671</v>
      </c>
      <c r="K2" s="16">
        <v>14.471158421773843</v>
      </c>
      <c r="L2" s="16">
        <v>0.39775679796935487</v>
      </c>
      <c r="M2" s="16">
        <v>0</v>
      </c>
      <c r="N2" s="16">
        <v>0</v>
      </c>
      <c r="O2" s="16">
        <v>0</v>
      </c>
      <c r="P2" s="16">
        <v>0</v>
      </c>
    </row>
    <row r="3" spans="1:16" x14ac:dyDescent="0.2">
      <c r="A3" s="16">
        <v>210.47426717476961</v>
      </c>
      <c r="B3" s="16">
        <v>5.5876473760503451</v>
      </c>
      <c r="C3" s="16">
        <v>19.510255103279206</v>
      </c>
      <c r="D3" s="16">
        <v>4.3360749207203906</v>
      </c>
      <c r="E3" s="16">
        <v>422.45345760819436</v>
      </c>
      <c r="F3" s="16">
        <v>22.076584503896882</v>
      </c>
      <c r="G3" s="16">
        <v>109.70467875136542</v>
      </c>
      <c r="H3" s="16">
        <v>4.7922017384081927</v>
      </c>
      <c r="I3" s="16">
        <v>192.07808077635636</v>
      </c>
      <c r="J3" s="16">
        <v>6.6368879613170897</v>
      </c>
      <c r="K3" s="16">
        <v>17.627815920144595</v>
      </c>
      <c r="L3" s="16">
        <v>1.603802807997954</v>
      </c>
      <c r="M3" s="16">
        <v>0</v>
      </c>
      <c r="N3" s="16">
        <v>0</v>
      </c>
      <c r="O3" s="16">
        <v>0</v>
      </c>
      <c r="P3" s="16">
        <v>0</v>
      </c>
    </row>
    <row r="4" spans="1:16" x14ac:dyDescent="0.2">
      <c r="A4" s="16">
        <v>195.42503458821815</v>
      </c>
      <c r="B4" s="16">
        <v>7.7171781450607062</v>
      </c>
      <c r="C4" s="16">
        <v>23.890656731150433</v>
      </c>
      <c r="D4" s="16">
        <v>1.2179418311649723</v>
      </c>
      <c r="E4" s="16">
        <v>401.16954295007162</v>
      </c>
      <c r="F4" s="16">
        <v>7.5594712853732897</v>
      </c>
      <c r="G4" s="16">
        <v>104.34706564326807</v>
      </c>
      <c r="H4" s="16">
        <v>5.6445758233140495</v>
      </c>
      <c r="I4" s="16">
        <v>181.35208334255421</v>
      </c>
      <c r="J4" s="16">
        <v>8.8747621573981164</v>
      </c>
      <c r="K4" s="16">
        <v>20.308820801247681</v>
      </c>
      <c r="L4" s="16">
        <v>1.1295458800742422</v>
      </c>
      <c r="M4" s="16">
        <v>0</v>
      </c>
      <c r="N4" s="16">
        <v>0</v>
      </c>
      <c r="O4" s="16">
        <v>0</v>
      </c>
      <c r="P4" s="16">
        <v>0</v>
      </c>
    </row>
    <row r="5" spans="1:16" x14ac:dyDescent="0.2">
      <c r="A5" s="16">
        <v>185.96551696238581</v>
      </c>
      <c r="B5" s="16">
        <v>4.2809278670131965</v>
      </c>
      <c r="C5" s="16">
        <v>41.654125909204915</v>
      </c>
      <c r="D5" s="16">
        <v>1.3187259992465417</v>
      </c>
      <c r="E5" s="16">
        <v>375.20961673827043</v>
      </c>
      <c r="F5" s="16">
        <v>0.60331148863661821</v>
      </c>
      <c r="G5" s="16">
        <v>99.372107342682781</v>
      </c>
      <c r="H5" s="16">
        <v>2.8367575629154356</v>
      </c>
      <c r="I5" s="16">
        <v>162.90065521163098</v>
      </c>
      <c r="J5" s="16">
        <v>3.9931194357844522</v>
      </c>
      <c r="K5" s="16">
        <v>27.675241421358351</v>
      </c>
      <c r="L5" s="16">
        <v>0.72196876645844188</v>
      </c>
      <c r="M5" s="16">
        <v>0</v>
      </c>
      <c r="N5" s="16">
        <v>0</v>
      </c>
      <c r="O5" s="16">
        <v>0</v>
      </c>
      <c r="P5" s="16">
        <v>0</v>
      </c>
    </row>
    <row r="18" spans="2:6" x14ac:dyDescent="0.2">
      <c r="B18" s="14"/>
      <c r="C18" s="14"/>
      <c r="D18" s="14"/>
      <c r="E18" s="14"/>
      <c r="F18" s="14"/>
    </row>
    <row r="19" spans="2:6" x14ac:dyDescent="0.2">
      <c r="B19" s="14"/>
      <c r="C19" s="14"/>
      <c r="D19" s="14"/>
      <c r="E19" s="14"/>
      <c r="F1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R1-PEG Conc</vt:lpstr>
      <vt:lpstr>R2-PEG Conc</vt:lpstr>
      <vt:lpstr>R3-PEG Conc</vt:lpstr>
      <vt:lpstr>BSA conc (3 replicates)</vt:lpstr>
      <vt:lpstr>Average and SD</vt:lpstr>
      <vt:lpstr>New_PEG-6K pH- 7, 200 mM Salt_S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Aleksander Rebane</cp:lastModifiedBy>
  <dcterms:created xsi:type="dcterms:W3CDTF">2024-10-23T08:12:58Z</dcterms:created>
  <dcterms:modified xsi:type="dcterms:W3CDTF">2026-05-06T02:56:12Z</dcterms:modified>
</cp:coreProperties>
</file>