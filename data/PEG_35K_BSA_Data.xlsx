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end\Desktop\PEG 35K Binodals\"/>
    </mc:Choice>
  </mc:AlternateContent>
  <xr:revisionPtr revIDLastSave="0" documentId="13_ncr:1_{753573B8-DEFA-487A-8882-4788DCB27CD1}" xr6:coauthVersionLast="47" xr6:coauthVersionMax="47" xr10:uidLastSave="{00000000-0000-0000-0000-000000000000}"/>
  <bookViews>
    <workbookView xWindow="-96" yWindow="-96" windowWidth="23232" windowHeight="13152" activeTab="2" xr2:uid="{2254DE5E-D54F-4749-ACAA-1E56A2692683}"/>
  </bookViews>
  <sheets>
    <sheet name="Binodals Data" sheetId="9" r:id="rId1"/>
    <sheet name="Average and SD" sheetId="7" r:id="rId2"/>
    <sheet name="Plot Forma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9" l="1"/>
  <c r="M6" i="9"/>
  <c r="M7" i="9"/>
  <c r="M8" i="9"/>
  <c r="M10" i="9"/>
  <c r="M11" i="9"/>
  <c r="M12" i="9"/>
  <c r="M13" i="9"/>
  <c r="M14" i="9"/>
  <c r="M16" i="9"/>
  <c r="M17" i="9"/>
  <c r="M18" i="9"/>
  <c r="M19" i="9"/>
  <c r="M20" i="9"/>
  <c r="M22" i="9"/>
  <c r="M4" i="9"/>
  <c r="G5" i="9"/>
  <c r="G6" i="9"/>
  <c r="G7" i="9"/>
  <c r="G8" i="9"/>
  <c r="G10" i="9"/>
  <c r="G11" i="9"/>
  <c r="G12" i="9"/>
  <c r="G13" i="9"/>
  <c r="G14" i="9"/>
  <c r="G16" i="9"/>
  <c r="G17" i="9"/>
  <c r="G18" i="9"/>
  <c r="G19" i="9"/>
  <c r="G20" i="9"/>
  <c r="G22" i="9"/>
  <c r="F4" i="9"/>
  <c r="N5" i="9" l="1"/>
  <c r="N6" i="9"/>
  <c r="N7" i="9"/>
  <c r="N8" i="9"/>
  <c r="N10" i="9"/>
  <c r="N11" i="9"/>
  <c r="N12" i="9"/>
  <c r="N13" i="9"/>
  <c r="N14" i="9"/>
  <c r="N16" i="9"/>
  <c r="N17" i="9"/>
  <c r="N18" i="9"/>
  <c r="N19" i="9"/>
  <c r="N20" i="9"/>
  <c r="N22" i="9"/>
  <c r="N4" i="9"/>
  <c r="G4" i="9"/>
  <c r="F5" i="9"/>
  <c r="F6" i="9"/>
  <c r="F7" i="9"/>
  <c r="F8" i="9"/>
  <c r="F10" i="9"/>
  <c r="F11" i="9"/>
  <c r="F12" i="9"/>
  <c r="F13" i="9"/>
  <c r="F14" i="9"/>
  <c r="F16" i="9"/>
  <c r="F17" i="9"/>
  <c r="F18" i="9"/>
  <c r="F19" i="9"/>
  <c r="F20" i="9"/>
  <c r="F22" i="9"/>
</calcChain>
</file>

<file path=xl/sharedStrings.xml><?xml version="1.0" encoding="utf-8"?>
<sst xmlns="http://schemas.openxmlformats.org/spreadsheetml/2006/main" count="89" uniqueCount="62">
  <si>
    <t>Critical point</t>
  </si>
  <si>
    <t>BSA(mg/ml)</t>
  </si>
  <si>
    <t>PEG(mg/ml)</t>
  </si>
  <si>
    <t>Average</t>
  </si>
  <si>
    <t>SD</t>
  </si>
  <si>
    <t>Mix-S1</t>
  </si>
  <si>
    <t>Mix-S2</t>
  </si>
  <si>
    <t>Mix-S3</t>
  </si>
  <si>
    <t>Mix-S4</t>
  </si>
  <si>
    <t>Mix-S5</t>
  </si>
  <si>
    <t>Sup-S1</t>
  </si>
  <si>
    <t>Sup-S2</t>
  </si>
  <si>
    <t>Sup-S3</t>
  </si>
  <si>
    <t>Sup-S4</t>
  </si>
  <si>
    <t>Sup-S5</t>
  </si>
  <si>
    <t>Pellet-S1</t>
  </si>
  <si>
    <t>Pellet-S2</t>
  </si>
  <si>
    <t>Pellet-S3</t>
  </si>
  <si>
    <t>Pellet-S4</t>
  </si>
  <si>
    <t>Pellet-S5</t>
  </si>
  <si>
    <t>BSA Mix</t>
  </si>
  <si>
    <t>BSA Mix STD</t>
  </si>
  <si>
    <t>BSA Sup</t>
  </si>
  <si>
    <t>BSA Sup STD</t>
  </si>
  <si>
    <t>BSA Drop</t>
  </si>
  <si>
    <t>BSA Drop STD</t>
  </si>
  <si>
    <t>PEG Mix</t>
  </si>
  <si>
    <t>PEG Mix STD</t>
  </si>
  <si>
    <t>PEG Sup</t>
  </si>
  <si>
    <t>PEG Sup STD</t>
  </si>
  <si>
    <t>PEG Drop</t>
  </si>
  <si>
    <t>PEG Drop STD</t>
  </si>
  <si>
    <t>BSA Crit</t>
  </si>
  <si>
    <t>BSA Crit STD</t>
  </si>
  <si>
    <t>PEG Crit</t>
  </si>
  <si>
    <t>PEG Crit STD</t>
  </si>
  <si>
    <t>Mixture 1</t>
  </si>
  <si>
    <t>Mixture 2</t>
  </si>
  <si>
    <t>Mixture 3</t>
  </si>
  <si>
    <t>Mixture 4</t>
  </si>
  <si>
    <t>Mixture 5</t>
  </si>
  <si>
    <t>S1-Mix</t>
  </si>
  <si>
    <t>S2-Mix</t>
  </si>
  <si>
    <t>S3-Mix</t>
  </si>
  <si>
    <t>S4-Mix</t>
  </si>
  <si>
    <t>S5-Mix</t>
  </si>
  <si>
    <t>S1-Sup</t>
  </si>
  <si>
    <t>S2-Sup</t>
  </si>
  <si>
    <t>S3-Sup</t>
  </si>
  <si>
    <t>S4-Sup</t>
  </si>
  <si>
    <t>S5-Sup</t>
  </si>
  <si>
    <t>S1-Pellet</t>
  </si>
  <si>
    <t>S2-Pellet</t>
  </si>
  <si>
    <t>S3-Pellet</t>
  </si>
  <si>
    <t>S4-Pellet</t>
  </si>
  <si>
    <t>S5-Pellet</t>
  </si>
  <si>
    <t>R1</t>
  </si>
  <si>
    <t xml:space="preserve">R2 </t>
  </si>
  <si>
    <t>R3</t>
  </si>
  <si>
    <t>R2</t>
  </si>
  <si>
    <t xml:space="preserve">PEG-35K, 200 mM salt, pH-7.0 </t>
  </si>
  <si>
    <t xml:space="preserve">PEG 35K, 200 mM salt, pH-7.0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</si>
</sst>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1"/>
    <xf numFmtId="0" fontId="4" fillId="0" borderId="0" xfId="1" applyFont="1"/>
  </cellXfs>
  <cellStyles count="4">
    <cellStyle name="20% - Accent1 2" xfId="3" xr:uid="{2773FFE7-F328-42C0-8214-98DEB97D2242}"/>
    <cellStyle name="Accent1 2" xfId="2" xr:uid="{FBDFB4DB-8517-4C8D-A005-CB136D29DF79}"/>
    <cellStyle name="Normal" xfId="0" builtinId="0"/>
    <cellStyle name="Normal 2" xfId="1" xr:uid="{B515AD66-42C1-4D41-9F36-9FB798705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7790-30AB-465D-A29E-A81A7627F703}">
  <dimension ref="B1:N22"/>
  <sheetViews>
    <sheetView workbookViewId="0">
      <selection activeCell="I29" sqref="I29"/>
    </sheetView>
  </sheetViews>
  <sheetFormatPr defaultRowHeight="14.4" x14ac:dyDescent="0.55000000000000004"/>
  <cols>
    <col min="2" max="2" width="10.62890625" customWidth="1"/>
  </cols>
  <sheetData>
    <row r="1" spans="2:14" ht="15.6" x14ac:dyDescent="0.6">
      <c r="B1" s="5" t="s">
        <v>60</v>
      </c>
    </row>
    <row r="2" spans="2:14" x14ac:dyDescent="0.55000000000000004">
      <c r="C2" s="1" t="s">
        <v>1</v>
      </c>
      <c r="D2" s="1"/>
      <c r="E2" s="1"/>
      <c r="J2" s="1" t="s">
        <v>2</v>
      </c>
      <c r="K2" s="1"/>
      <c r="L2" s="1"/>
    </row>
    <row r="3" spans="2:14" x14ac:dyDescent="0.55000000000000004">
      <c r="C3" s="1" t="s">
        <v>56</v>
      </c>
      <c r="D3" s="1" t="s">
        <v>57</v>
      </c>
      <c r="E3" s="1" t="s">
        <v>58</v>
      </c>
      <c r="F3" s="1" t="s">
        <v>3</v>
      </c>
      <c r="G3" s="1" t="s">
        <v>4</v>
      </c>
      <c r="J3" s="1" t="s">
        <v>56</v>
      </c>
      <c r="K3" s="1" t="s">
        <v>59</v>
      </c>
      <c r="L3" s="1" t="s">
        <v>58</v>
      </c>
      <c r="M3" s="1" t="s">
        <v>3</v>
      </c>
      <c r="N3" s="1" t="s">
        <v>4</v>
      </c>
    </row>
    <row r="4" spans="2:14" ht="15.6" x14ac:dyDescent="0.6">
      <c r="B4" s="1" t="s">
        <v>41</v>
      </c>
      <c r="C4">
        <v>215.74149858006263</v>
      </c>
      <c r="D4">
        <v>163.8216461564601</v>
      </c>
      <c r="E4">
        <v>164.46661326731231</v>
      </c>
      <c r="F4">
        <f>AVERAGE(C4:E4)</f>
        <v>181.34325266794499</v>
      </c>
      <c r="G4">
        <f>_xlfn.STDEV.P(C4:E4)</f>
        <v>24.324658093059988</v>
      </c>
      <c r="I4" s="1" t="s">
        <v>41</v>
      </c>
      <c r="J4">
        <v>126.44812948527201</v>
      </c>
      <c r="K4">
        <v>111.092632084306</v>
      </c>
      <c r="L4" s="4">
        <v>110.827177766303</v>
      </c>
      <c r="M4">
        <f>AVERAGE(J4:L4)</f>
        <v>116.12264644529368</v>
      </c>
      <c r="N4">
        <f>_xlfn.STDEV.P(J4:L4)</f>
        <v>7.3020233043267684</v>
      </c>
    </row>
    <row r="5" spans="2:14" ht="15.6" x14ac:dyDescent="0.6">
      <c r="B5" s="1" t="s">
        <v>42</v>
      </c>
      <c r="C5">
        <v>197.03745236534868</v>
      </c>
      <c r="D5">
        <v>155.11459015995536</v>
      </c>
      <c r="E5">
        <v>166.72399815529505</v>
      </c>
      <c r="F5">
        <f t="shared" ref="F5:F22" si="0">AVERAGE(C5:E5)</f>
        <v>172.95868022686636</v>
      </c>
      <c r="G5">
        <f t="shared" ref="G5:G22" si="1">_xlfn.STDEV.P(C5:E5)</f>
        <v>17.673615726524382</v>
      </c>
      <c r="I5" s="1" t="s">
        <v>42</v>
      </c>
      <c r="J5">
        <v>112.30308449200415</v>
      </c>
      <c r="K5">
        <v>95.287465629579302</v>
      </c>
      <c r="L5" s="4">
        <v>99.851827546173695</v>
      </c>
      <c r="M5">
        <f t="shared" ref="M5:M22" si="2">AVERAGE(J5:L5)</f>
        <v>102.48079255591904</v>
      </c>
      <c r="N5">
        <f t="shared" ref="N5:N22" si="3">_xlfn.STDEV.P(J5:L5)</f>
        <v>7.1910321041640035</v>
      </c>
    </row>
    <row r="6" spans="2:14" ht="15.6" x14ac:dyDescent="0.6">
      <c r="B6" s="1" t="s">
        <v>43</v>
      </c>
      <c r="C6">
        <v>176.72098837350424</v>
      </c>
      <c r="D6">
        <v>155.43707371538142</v>
      </c>
      <c r="E6">
        <v>139.63537949950242</v>
      </c>
      <c r="F6">
        <f t="shared" si="0"/>
        <v>157.2644805294627</v>
      </c>
      <c r="G6">
        <f t="shared" si="1"/>
        <v>15.195178141699504</v>
      </c>
      <c r="I6" s="1" t="s">
        <v>43</v>
      </c>
      <c r="J6">
        <v>89.642779078464827</v>
      </c>
      <c r="K6">
        <v>76.379043055080601</v>
      </c>
      <c r="L6" s="4">
        <v>87.635661587525206</v>
      </c>
      <c r="M6">
        <f t="shared" si="2"/>
        <v>84.552494573690197</v>
      </c>
      <c r="N6">
        <f t="shared" si="3"/>
        <v>5.8373003149803901</v>
      </c>
    </row>
    <row r="7" spans="2:14" ht="15.6" x14ac:dyDescent="0.6">
      <c r="B7" s="1" t="s">
        <v>44</v>
      </c>
      <c r="C7">
        <v>121.57630039564067</v>
      </c>
      <c r="D7">
        <v>140.92531372120683</v>
      </c>
      <c r="E7">
        <v>129.63838928129326</v>
      </c>
      <c r="F7">
        <f t="shared" si="0"/>
        <v>130.71333446604692</v>
      </c>
      <c r="G7">
        <f t="shared" si="1"/>
        <v>7.9356877261689611</v>
      </c>
      <c r="I7" s="1" t="s">
        <v>44</v>
      </c>
      <c r="J7">
        <v>69.43289505269118</v>
      </c>
      <c r="K7">
        <v>73.214165580422602</v>
      </c>
      <c r="L7" s="4">
        <v>75.570140766106206</v>
      </c>
      <c r="M7">
        <f t="shared" si="2"/>
        <v>72.73906713307332</v>
      </c>
      <c r="N7">
        <f t="shared" si="3"/>
        <v>2.5279418687558262</v>
      </c>
    </row>
    <row r="8" spans="2:14" ht="15.6" x14ac:dyDescent="0.6">
      <c r="B8" s="1" t="s">
        <v>45</v>
      </c>
      <c r="C8">
        <v>104.16218840263114</v>
      </c>
      <c r="D8">
        <v>134.47564261268477</v>
      </c>
      <c r="E8">
        <v>114.48166217626641</v>
      </c>
      <c r="F8">
        <f t="shared" si="0"/>
        <v>117.70649773052743</v>
      </c>
      <c r="G8">
        <f t="shared" si="1"/>
        <v>12.583747449263683</v>
      </c>
      <c r="I8" s="1" t="s">
        <v>45</v>
      </c>
      <c r="J8">
        <v>56.895453747789155</v>
      </c>
      <c r="K8">
        <v>71.273413592313005</v>
      </c>
      <c r="L8" s="4">
        <v>74.778192495280393</v>
      </c>
      <c r="M8">
        <f t="shared" si="2"/>
        <v>67.64901994512752</v>
      </c>
      <c r="N8">
        <f t="shared" si="3"/>
        <v>7.7373664020808688</v>
      </c>
    </row>
    <row r="9" spans="2:14" x14ac:dyDescent="0.55000000000000004">
      <c r="B9" s="1"/>
      <c r="I9" s="1"/>
    </row>
    <row r="10" spans="2:14" ht="15.6" x14ac:dyDescent="0.6">
      <c r="B10" s="1" t="s">
        <v>46</v>
      </c>
      <c r="C10">
        <v>7.4171217748003588</v>
      </c>
      <c r="D10">
        <v>4.4341488871089103</v>
      </c>
      <c r="E10">
        <v>2.9023519988349231</v>
      </c>
      <c r="F10">
        <f t="shared" si="0"/>
        <v>4.9178742202480636</v>
      </c>
      <c r="G10">
        <f t="shared" si="1"/>
        <v>1.8746162595641074</v>
      </c>
      <c r="I10" s="1" t="s">
        <v>46</v>
      </c>
      <c r="J10">
        <v>217.75199011829909</v>
      </c>
      <c r="K10">
        <v>211.54469279451601</v>
      </c>
      <c r="L10" s="4">
        <v>211.06336243548401</v>
      </c>
      <c r="M10">
        <f t="shared" si="2"/>
        <v>213.45334844943304</v>
      </c>
      <c r="N10">
        <f t="shared" si="3"/>
        <v>3.045943737345906</v>
      </c>
    </row>
    <row r="11" spans="2:14" ht="15.6" x14ac:dyDescent="0.6">
      <c r="B11" s="1" t="s">
        <v>47</v>
      </c>
      <c r="C11">
        <v>12.334995995048423</v>
      </c>
      <c r="D11">
        <v>8.0620888856525639</v>
      </c>
      <c r="E11">
        <v>7.3365008859438339</v>
      </c>
      <c r="F11">
        <f t="shared" si="0"/>
        <v>9.2445285888816073</v>
      </c>
      <c r="G11">
        <f t="shared" si="1"/>
        <v>2.2052756559010831</v>
      </c>
      <c r="I11" s="1" t="s">
        <v>47</v>
      </c>
      <c r="J11">
        <v>163.331399</v>
      </c>
      <c r="K11">
        <v>174.36531539548</v>
      </c>
      <c r="L11" s="4">
        <v>183.68781740672401</v>
      </c>
      <c r="M11">
        <f t="shared" si="2"/>
        <v>173.79484393406801</v>
      </c>
      <c r="N11">
        <f t="shared" si="3"/>
        <v>8.3202572417611034</v>
      </c>
    </row>
    <row r="12" spans="2:14" ht="15.6" x14ac:dyDescent="0.6">
      <c r="B12" s="1" t="s">
        <v>48</v>
      </c>
      <c r="C12">
        <v>13.705551105609363</v>
      </c>
      <c r="D12">
        <v>16.930386659870386</v>
      </c>
      <c r="E12">
        <v>17.011007548726909</v>
      </c>
      <c r="F12">
        <f t="shared" si="0"/>
        <v>15.882315104735554</v>
      </c>
      <c r="G12">
        <f t="shared" si="1"/>
        <v>1.5395564432326789</v>
      </c>
      <c r="I12" s="1" t="s">
        <v>48</v>
      </c>
      <c r="J12">
        <v>138.61677792946116</v>
      </c>
      <c r="K12">
        <v>151.820536481826</v>
      </c>
      <c r="L12" s="4">
        <v>148.53858733449999</v>
      </c>
      <c r="M12">
        <f t="shared" si="2"/>
        <v>146.32530058192904</v>
      </c>
      <c r="N12">
        <f t="shared" si="3"/>
        <v>5.6130080268436213</v>
      </c>
    </row>
    <row r="13" spans="2:14" ht="15.6" x14ac:dyDescent="0.6">
      <c r="B13" s="1" t="s">
        <v>49</v>
      </c>
      <c r="C13">
        <v>24.831233767809898</v>
      </c>
      <c r="D13">
        <v>36.279399985436541</v>
      </c>
      <c r="E13">
        <v>41.036032427971556</v>
      </c>
      <c r="F13">
        <f t="shared" si="0"/>
        <v>34.048888727072665</v>
      </c>
      <c r="G13">
        <f t="shared" si="1"/>
        <v>6.8009930774537386</v>
      </c>
      <c r="I13" s="1" t="s">
        <v>49</v>
      </c>
      <c r="J13">
        <v>112.24872675507673</v>
      </c>
      <c r="K13">
        <v>113.124814378531</v>
      </c>
      <c r="L13" s="4">
        <v>110.0383722306</v>
      </c>
      <c r="M13">
        <f t="shared" si="2"/>
        <v>111.80397112140258</v>
      </c>
      <c r="N13">
        <f t="shared" si="3"/>
        <v>1.2986883032236534</v>
      </c>
    </row>
    <row r="14" spans="2:14" ht="15.6" x14ac:dyDescent="0.6">
      <c r="B14" s="1" t="s">
        <v>50</v>
      </c>
      <c r="C14">
        <v>50.871780868467688</v>
      </c>
      <c r="D14">
        <v>58.611386198694134</v>
      </c>
      <c r="E14">
        <v>60.0625621981116</v>
      </c>
      <c r="F14">
        <f t="shared" si="0"/>
        <v>56.515243088424477</v>
      </c>
      <c r="G14">
        <f t="shared" si="1"/>
        <v>4.0342679894772315</v>
      </c>
      <c r="I14" s="1" t="s">
        <v>50</v>
      </c>
      <c r="J14">
        <v>73.737955318279347</v>
      </c>
      <c r="K14">
        <v>94.849026370547406</v>
      </c>
      <c r="L14" s="4">
        <v>92.669678112283094</v>
      </c>
      <c r="M14">
        <f t="shared" si="2"/>
        <v>87.08555326703663</v>
      </c>
      <c r="N14">
        <f t="shared" si="3"/>
        <v>9.4800199704060741</v>
      </c>
    </row>
    <row r="15" spans="2:14" x14ac:dyDescent="0.55000000000000004">
      <c r="B15" s="1"/>
      <c r="I15" s="1"/>
    </row>
    <row r="16" spans="2:14" ht="15.6" x14ac:dyDescent="0.6">
      <c r="B16" s="1" t="s">
        <v>51</v>
      </c>
      <c r="C16">
        <v>420.51855627563776</v>
      </c>
      <c r="D16">
        <v>461.79645137017894</v>
      </c>
      <c r="E16">
        <v>417.2937207213767</v>
      </c>
      <c r="F16">
        <f t="shared" si="0"/>
        <v>433.20290945573112</v>
      </c>
      <c r="G16">
        <f t="shared" si="1"/>
        <v>20.261504888136507</v>
      </c>
      <c r="I16" s="1" t="s">
        <v>51</v>
      </c>
      <c r="J16">
        <v>1</v>
      </c>
      <c r="K16">
        <v>1.2070572256395</v>
      </c>
      <c r="L16" s="4">
        <v>1.3844609945956601</v>
      </c>
      <c r="M16">
        <f t="shared" si="2"/>
        <v>1.1971727400783865</v>
      </c>
      <c r="N16">
        <f t="shared" si="3"/>
        <v>0.15711108889885808</v>
      </c>
    </row>
    <row r="17" spans="2:14" ht="15.6" x14ac:dyDescent="0.6">
      <c r="B17" s="1" t="s">
        <v>52</v>
      </c>
      <c r="C17">
        <v>399.8796087283672</v>
      </c>
      <c r="D17">
        <v>415.35881938882017</v>
      </c>
      <c r="E17">
        <v>386.33529940047089</v>
      </c>
      <c r="F17">
        <f t="shared" si="0"/>
        <v>400.52457583921938</v>
      </c>
      <c r="G17">
        <f t="shared" si="1"/>
        <v>11.857576060873159</v>
      </c>
      <c r="I17" s="1" t="s">
        <v>52</v>
      </c>
      <c r="J17">
        <v>1</v>
      </c>
      <c r="K17">
        <v>2.3377018671504102</v>
      </c>
      <c r="L17" s="4">
        <v>2.23456423463765</v>
      </c>
      <c r="M17">
        <f t="shared" si="2"/>
        <v>1.8574220339293532</v>
      </c>
      <c r="N17">
        <f t="shared" si="3"/>
        <v>0.60774926354582914</v>
      </c>
    </row>
    <row r="18" spans="2:14" ht="15.6" x14ac:dyDescent="0.6">
      <c r="B18" s="1" t="s">
        <v>53</v>
      </c>
      <c r="C18">
        <v>371.50105585087016</v>
      </c>
      <c r="D18">
        <v>374.08092429427893</v>
      </c>
      <c r="E18">
        <v>352.79700963615625</v>
      </c>
      <c r="F18">
        <f t="shared" si="0"/>
        <v>366.12632992710178</v>
      </c>
      <c r="G18">
        <f t="shared" si="1"/>
        <v>9.4839167316843422</v>
      </c>
      <c r="I18" s="1" t="s">
        <v>53</v>
      </c>
      <c r="J18">
        <v>2.0504497743235057</v>
      </c>
      <c r="K18">
        <v>3.17190452352181</v>
      </c>
      <c r="L18" s="4">
        <v>2.4156861403748802</v>
      </c>
      <c r="M18">
        <f t="shared" si="2"/>
        <v>2.5460134794067319</v>
      </c>
      <c r="N18">
        <f t="shared" si="3"/>
        <v>0.46701470362234337</v>
      </c>
    </row>
    <row r="19" spans="2:14" ht="15.6" x14ac:dyDescent="0.6">
      <c r="B19" s="1" t="s">
        <v>54</v>
      </c>
      <c r="C19">
        <v>307.64931187650183</v>
      </c>
      <c r="D19">
        <v>317.3238185392849</v>
      </c>
      <c r="E19">
        <v>298.61977232457104</v>
      </c>
      <c r="F19">
        <f t="shared" si="0"/>
        <v>307.86430091345261</v>
      </c>
      <c r="G19">
        <f t="shared" si="1"/>
        <v>7.6374079990113879</v>
      </c>
      <c r="I19" s="1" t="s">
        <v>54</v>
      </c>
      <c r="J19">
        <v>3.9372813153818096</v>
      </c>
      <c r="K19">
        <v>5.5609584431626002</v>
      </c>
      <c r="L19" s="4">
        <v>6.1748941780925604</v>
      </c>
      <c r="M19">
        <f t="shared" si="2"/>
        <v>5.2243779788789899</v>
      </c>
      <c r="N19">
        <f t="shared" si="3"/>
        <v>0.94399598782522687</v>
      </c>
    </row>
    <row r="20" spans="2:14" ht="15.6" x14ac:dyDescent="0.6">
      <c r="B20" s="1" t="s">
        <v>55</v>
      </c>
      <c r="C20">
        <v>216.06398213548869</v>
      </c>
      <c r="D20">
        <v>313.45401587417172</v>
      </c>
      <c r="E20">
        <v>279.27075899900484</v>
      </c>
      <c r="F20">
        <f t="shared" si="0"/>
        <v>269.59625233622177</v>
      </c>
      <c r="G20">
        <f t="shared" si="1"/>
        <v>40.343539154629021</v>
      </c>
      <c r="I20" s="1" t="s">
        <v>55</v>
      </c>
      <c r="J20">
        <v>11.537605446566593</v>
      </c>
      <c r="K20">
        <v>8.3165095741792499</v>
      </c>
      <c r="L20" s="4">
        <v>9.58585799218719</v>
      </c>
      <c r="M20">
        <f t="shared" si="2"/>
        <v>9.8133243376443442</v>
      </c>
      <c r="N20">
        <f t="shared" si="3"/>
        <v>1.3248069943742542</v>
      </c>
    </row>
    <row r="21" spans="2:14" x14ac:dyDescent="0.55000000000000004">
      <c r="B21" s="1"/>
      <c r="I21" s="1"/>
    </row>
    <row r="22" spans="2:14" ht="15.6" x14ac:dyDescent="0.6">
      <c r="B22" s="1" t="s">
        <v>0</v>
      </c>
      <c r="C22">
        <v>86.748076409621603</v>
      </c>
      <c r="D22">
        <v>114.80414573169251</v>
      </c>
      <c r="E22">
        <v>98.357484404961284</v>
      </c>
      <c r="F22">
        <f t="shared" si="0"/>
        <v>99.969902182091801</v>
      </c>
      <c r="G22">
        <f t="shared" si="1"/>
        <v>11.510449593513323</v>
      </c>
      <c r="I22" s="1" t="s">
        <v>0</v>
      </c>
      <c r="J22">
        <v>54.578929036476474</v>
      </c>
      <c r="K22">
        <v>60.451187872528799</v>
      </c>
      <c r="L22" s="4">
        <v>65.929173980380497</v>
      </c>
      <c r="M22">
        <f t="shared" si="2"/>
        <v>60.319763629795261</v>
      </c>
      <c r="N22">
        <f t="shared" si="3"/>
        <v>4.6346498839601882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3E4A-E851-4C11-94BC-525FDA26358A}">
  <dimension ref="C2:H23"/>
  <sheetViews>
    <sheetView topLeftCell="A2" workbookViewId="0">
      <selection activeCell="J16" sqref="J16"/>
    </sheetView>
  </sheetViews>
  <sheetFormatPr defaultColWidth="8.83984375" defaultRowHeight="14.4" x14ac:dyDescent="0.55000000000000004"/>
  <cols>
    <col min="3" max="3" width="11.15625" customWidth="1"/>
  </cols>
  <sheetData>
    <row r="2" spans="3:8" ht="15.6" x14ac:dyDescent="0.6">
      <c r="C2" s="5" t="s">
        <v>61</v>
      </c>
    </row>
    <row r="3" spans="3:8" x14ac:dyDescent="0.55000000000000004">
      <c r="D3" s="1" t="s">
        <v>1</v>
      </c>
      <c r="E3" s="1"/>
      <c r="F3" s="1"/>
      <c r="G3" s="1" t="s">
        <v>2</v>
      </c>
      <c r="H3" s="1"/>
    </row>
    <row r="4" spans="3:8" x14ac:dyDescent="0.55000000000000004">
      <c r="D4" s="1" t="s">
        <v>3</v>
      </c>
      <c r="E4" s="1" t="s">
        <v>4</v>
      </c>
      <c r="F4" s="1"/>
      <c r="G4" s="1" t="s">
        <v>3</v>
      </c>
      <c r="H4" s="1" t="s">
        <v>4</v>
      </c>
    </row>
    <row r="5" spans="3:8" x14ac:dyDescent="0.55000000000000004">
      <c r="C5" t="s">
        <v>5</v>
      </c>
      <c r="D5" s="1">
        <v>181.34325266794499</v>
      </c>
      <c r="E5" s="1">
        <v>24.324658093059988</v>
      </c>
      <c r="G5">
        <v>116.12264644529368</v>
      </c>
      <c r="H5">
        <v>7.3020233043267684</v>
      </c>
    </row>
    <row r="6" spans="3:8" x14ac:dyDescent="0.55000000000000004">
      <c r="C6" t="s">
        <v>6</v>
      </c>
      <c r="D6" s="1">
        <v>172.95868022686636</v>
      </c>
      <c r="E6" s="1">
        <v>17.673615726524382</v>
      </c>
      <c r="G6">
        <v>102.48079255591904</v>
      </c>
      <c r="H6">
        <v>7.1910321041640035</v>
      </c>
    </row>
    <row r="7" spans="3:8" x14ac:dyDescent="0.55000000000000004">
      <c r="C7" t="s">
        <v>7</v>
      </c>
      <c r="D7" s="1">
        <v>157.2644805294627</v>
      </c>
      <c r="E7" s="1">
        <v>15.195178141699504</v>
      </c>
      <c r="G7">
        <v>84.552494573690197</v>
      </c>
      <c r="H7">
        <v>5.8373003149803901</v>
      </c>
    </row>
    <row r="8" spans="3:8" x14ac:dyDescent="0.55000000000000004">
      <c r="C8" t="s">
        <v>8</v>
      </c>
      <c r="D8" s="1">
        <v>130.71333446604692</v>
      </c>
      <c r="E8" s="1">
        <v>7.9356877261689611</v>
      </c>
      <c r="G8">
        <v>72.73906713307332</v>
      </c>
      <c r="H8">
        <v>2.5279418687558262</v>
      </c>
    </row>
    <row r="9" spans="3:8" x14ac:dyDescent="0.55000000000000004">
      <c r="C9" t="s">
        <v>9</v>
      </c>
      <c r="D9" s="1">
        <v>117.70649773052743</v>
      </c>
      <c r="E9" s="1">
        <v>12.583747449263683</v>
      </c>
      <c r="G9">
        <v>67.64901994512752</v>
      </c>
      <c r="H9">
        <v>7.7373664020808688</v>
      </c>
    </row>
    <row r="10" spans="3:8" x14ac:dyDescent="0.55000000000000004">
      <c r="D10" s="1"/>
      <c r="E10" s="1"/>
    </row>
    <row r="11" spans="3:8" x14ac:dyDescent="0.55000000000000004">
      <c r="C11" t="s">
        <v>10</v>
      </c>
      <c r="D11" s="1">
        <v>4.9178742202480636</v>
      </c>
      <c r="E11" s="1">
        <v>1.8746162595641074</v>
      </c>
      <c r="G11">
        <v>213.45334844943304</v>
      </c>
      <c r="H11">
        <v>3.045943737345906</v>
      </c>
    </row>
    <row r="12" spans="3:8" x14ac:dyDescent="0.55000000000000004">
      <c r="C12" t="s">
        <v>11</v>
      </c>
      <c r="D12" s="1">
        <v>9.2445285888816073</v>
      </c>
      <c r="E12" s="1">
        <v>2.2052756559010831</v>
      </c>
      <c r="G12">
        <v>173.79484393406801</v>
      </c>
      <c r="H12">
        <v>8.3202572417611034</v>
      </c>
    </row>
    <row r="13" spans="3:8" x14ac:dyDescent="0.55000000000000004">
      <c r="C13" t="s">
        <v>12</v>
      </c>
      <c r="D13" s="1">
        <v>15.882315104735554</v>
      </c>
      <c r="E13" s="1">
        <v>1.5395564432326789</v>
      </c>
      <c r="G13">
        <v>146.32530058192904</v>
      </c>
      <c r="H13">
        <v>5.6130080268436213</v>
      </c>
    </row>
    <row r="14" spans="3:8" x14ac:dyDescent="0.55000000000000004">
      <c r="C14" t="s">
        <v>13</v>
      </c>
      <c r="D14" s="1">
        <v>34.048888727072665</v>
      </c>
      <c r="E14" s="1">
        <v>6.8009930774537386</v>
      </c>
      <c r="G14">
        <v>111.80397112140258</v>
      </c>
      <c r="H14">
        <v>1.2986883032236534</v>
      </c>
    </row>
    <row r="15" spans="3:8" x14ac:dyDescent="0.55000000000000004">
      <c r="C15" t="s">
        <v>14</v>
      </c>
      <c r="D15" s="1">
        <v>56.515243088424477</v>
      </c>
      <c r="E15" s="1">
        <v>4.0342679894772315</v>
      </c>
      <c r="G15">
        <v>87.08555326703663</v>
      </c>
      <c r="H15">
        <v>9.4800199704060741</v>
      </c>
    </row>
    <row r="16" spans="3:8" x14ac:dyDescent="0.55000000000000004">
      <c r="D16" s="1"/>
      <c r="E16" s="1"/>
    </row>
    <row r="17" spans="3:8" x14ac:dyDescent="0.55000000000000004">
      <c r="C17" t="s">
        <v>15</v>
      </c>
      <c r="D17" s="1">
        <v>433.20290945573112</v>
      </c>
      <c r="E17" s="1">
        <v>20.261504888136507</v>
      </c>
      <c r="G17">
        <v>1.1971727400783865</v>
      </c>
      <c r="H17">
        <v>0.15711108889885808</v>
      </c>
    </row>
    <row r="18" spans="3:8" x14ac:dyDescent="0.55000000000000004">
      <c r="C18" t="s">
        <v>16</v>
      </c>
      <c r="D18" s="1">
        <v>400.52457583921938</v>
      </c>
      <c r="E18" s="1">
        <v>11.857576060873159</v>
      </c>
      <c r="G18">
        <v>1.8574220339293532</v>
      </c>
      <c r="H18">
        <v>0.60774926354582914</v>
      </c>
    </row>
    <row r="19" spans="3:8" x14ac:dyDescent="0.55000000000000004">
      <c r="C19" t="s">
        <v>17</v>
      </c>
      <c r="D19" s="1">
        <v>366.12632992710178</v>
      </c>
      <c r="E19" s="1">
        <v>9.4839167316843422</v>
      </c>
      <c r="G19">
        <v>2.5460134794067319</v>
      </c>
      <c r="H19">
        <v>0.46701470362234337</v>
      </c>
    </row>
    <row r="20" spans="3:8" x14ac:dyDescent="0.55000000000000004">
      <c r="C20" t="s">
        <v>18</v>
      </c>
      <c r="D20" s="1">
        <v>307.86430091345261</v>
      </c>
      <c r="E20" s="1">
        <v>7.6374079990113879</v>
      </c>
      <c r="G20">
        <v>5.2243779788789899</v>
      </c>
      <c r="H20">
        <v>0.94399598782522687</v>
      </c>
    </row>
    <row r="21" spans="3:8" x14ac:dyDescent="0.55000000000000004">
      <c r="C21" t="s">
        <v>19</v>
      </c>
      <c r="D21" s="1">
        <v>269.59625233622177</v>
      </c>
      <c r="E21" s="1">
        <v>40.343539154629021</v>
      </c>
      <c r="G21">
        <v>9.8133243376443442</v>
      </c>
      <c r="H21">
        <v>1.3248069943742542</v>
      </c>
    </row>
    <row r="23" spans="3:8" x14ac:dyDescent="0.55000000000000004">
      <c r="C23" s="1" t="s">
        <v>0</v>
      </c>
      <c r="D23" s="1">
        <v>99.969902182091801</v>
      </c>
      <c r="E23" s="1">
        <v>11.510449593513323</v>
      </c>
      <c r="F23" s="1"/>
      <c r="G23">
        <v>60.319763629795261</v>
      </c>
      <c r="H23">
        <v>4.6346498839601882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A20E-1ED5-914A-9D43-D66DC728A387}">
  <dimension ref="A1:Q32"/>
  <sheetViews>
    <sheetView tabSelected="1" workbookViewId="0">
      <selection activeCell="P9" sqref="P9"/>
    </sheetView>
  </sheetViews>
  <sheetFormatPr defaultColWidth="10.9453125" defaultRowHeight="14.4" x14ac:dyDescent="0.55000000000000004"/>
  <cols>
    <col min="2" max="2" width="11.15625" bestFit="1" customWidth="1"/>
    <col min="3" max="5" width="11" bestFit="1" customWidth="1"/>
    <col min="6" max="6" width="11.15625" bestFit="1" customWidth="1"/>
    <col min="7" max="7" width="11" bestFit="1" customWidth="1"/>
  </cols>
  <sheetData>
    <row r="1" spans="1:17" x14ac:dyDescent="0.55000000000000004">
      <c r="A1" t="s">
        <v>36</v>
      </c>
      <c r="B1" s="3">
        <v>181.34325266794499</v>
      </c>
      <c r="C1" s="3">
        <v>24.324658093059988</v>
      </c>
      <c r="D1" s="3">
        <v>4.9178742202480636</v>
      </c>
      <c r="E1" s="3">
        <v>1.8746162595641074</v>
      </c>
      <c r="F1" s="3">
        <v>433.20290945573112</v>
      </c>
      <c r="G1" s="3">
        <v>20.261504888136507</v>
      </c>
      <c r="H1" s="3">
        <v>116.12264644529368</v>
      </c>
      <c r="I1" s="3">
        <v>7.3020233043267684</v>
      </c>
      <c r="J1" s="3">
        <v>213.45334844943304</v>
      </c>
      <c r="K1" s="3">
        <v>3.045943737345906</v>
      </c>
      <c r="L1" s="3">
        <v>1.1971727400783865</v>
      </c>
      <c r="M1" s="3">
        <v>0.15711108889885808</v>
      </c>
      <c r="N1" s="2">
        <v>99.969902182091801</v>
      </c>
      <c r="O1" s="2">
        <v>11.510449593513323</v>
      </c>
      <c r="P1" s="3">
        <v>60.319763629795261</v>
      </c>
      <c r="Q1" s="3">
        <v>4.6346498839601882</v>
      </c>
    </row>
    <row r="2" spans="1:17" x14ac:dyDescent="0.55000000000000004">
      <c r="A2" t="s">
        <v>37</v>
      </c>
      <c r="B2" s="3">
        <v>172.95868022686636</v>
      </c>
      <c r="C2" s="3">
        <v>17.673615726524382</v>
      </c>
      <c r="D2" s="3">
        <v>9.2445285888816073</v>
      </c>
      <c r="E2" s="3">
        <v>2.2052756559010831</v>
      </c>
      <c r="F2" s="3">
        <v>400.52457583921938</v>
      </c>
      <c r="G2" s="3">
        <v>11.857576060873159</v>
      </c>
      <c r="H2" s="3">
        <v>102.48079255591904</v>
      </c>
      <c r="I2" s="3">
        <v>7.1910321041640035</v>
      </c>
      <c r="J2" s="3">
        <v>173.79484393406801</v>
      </c>
      <c r="K2" s="3">
        <v>8.3202572417611034</v>
      </c>
      <c r="L2" s="3">
        <v>1.8574220339293532</v>
      </c>
      <c r="M2" s="3">
        <v>0.60774926354582914</v>
      </c>
      <c r="N2" s="3">
        <v>0</v>
      </c>
      <c r="O2" s="3">
        <v>0</v>
      </c>
      <c r="P2" s="3">
        <v>0</v>
      </c>
      <c r="Q2" s="3">
        <v>0</v>
      </c>
    </row>
    <row r="3" spans="1:17" x14ac:dyDescent="0.55000000000000004">
      <c r="A3" t="s">
        <v>38</v>
      </c>
      <c r="B3" s="3">
        <v>157.2644805294627</v>
      </c>
      <c r="C3" s="3">
        <v>15.195178141699504</v>
      </c>
      <c r="D3" s="3">
        <v>15.882315104735554</v>
      </c>
      <c r="E3" s="3">
        <v>1.5395564432326789</v>
      </c>
      <c r="F3" s="3">
        <v>366.12632992710178</v>
      </c>
      <c r="G3" s="3">
        <v>9.4839167316843422</v>
      </c>
      <c r="H3" s="3">
        <v>84.552494573690197</v>
      </c>
      <c r="I3" s="3">
        <v>5.8373003149803901</v>
      </c>
      <c r="J3" s="3">
        <v>146.32530058192904</v>
      </c>
      <c r="K3" s="3">
        <v>5.6130080268436213</v>
      </c>
      <c r="L3" s="3">
        <v>2.5460134794067319</v>
      </c>
      <c r="M3" s="3">
        <v>0.46701470362234337</v>
      </c>
      <c r="N3" s="3">
        <v>0</v>
      </c>
      <c r="O3" s="3">
        <v>0</v>
      </c>
      <c r="P3" s="3">
        <v>0</v>
      </c>
      <c r="Q3" s="3">
        <v>0</v>
      </c>
    </row>
    <row r="4" spans="1:17" x14ac:dyDescent="0.55000000000000004">
      <c r="A4" t="s">
        <v>39</v>
      </c>
      <c r="B4" s="3">
        <v>130.71333446604692</v>
      </c>
      <c r="C4" s="3">
        <v>7.9356877261689611</v>
      </c>
      <c r="D4" s="3">
        <v>34.048888727072665</v>
      </c>
      <c r="E4" s="3">
        <v>6.8009930774537386</v>
      </c>
      <c r="F4" s="3">
        <v>307.86430091345261</v>
      </c>
      <c r="G4" s="3">
        <v>7.6374079990113879</v>
      </c>
      <c r="H4" s="3">
        <v>72.73906713307332</v>
      </c>
      <c r="I4" s="3">
        <v>2.5279418687558262</v>
      </c>
      <c r="J4" s="3">
        <v>111.80397112140258</v>
      </c>
      <c r="K4" s="3">
        <v>1.2986883032236534</v>
      </c>
      <c r="L4" s="3">
        <v>5.2243779788789899</v>
      </c>
      <c r="M4" s="3">
        <v>0.94399598782522687</v>
      </c>
      <c r="N4" s="3">
        <v>0</v>
      </c>
      <c r="O4" s="3">
        <v>0</v>
      </c>
      <c r="P4" s="3">
        <v>0</v>
      </c>
      <c r="Q4" s="3">
        <v>0</v>
      </c>
    </row>
    <row r="5" spans="1:17" x14ac:dyDescent="0.55000000000000004">
      <c r="A5" t="s">
        <v>40</v>
      </c>
      <c r="B5" s="3">
        <v>117.70649773052743</v>
      </c>
      <c r="C5" s="3">
        <v>12.583747449263683</v>
      </c>
      <c r="D5" s="3">
        <v>56.515243088424477</v>
      </c>
      <c r="E5" s="3">
        <v>4.0342679894772315</v>
      </c>
      <c r="F5" s="3">
        <v>269.59625233622177</v>
      </c>
      <c r="G5" s="3">
        <v>40.343539154629021</v>
      </c>
      <c r="H5" s="3">
        <v>67.64901994512752</v>
      </c>
      <c r="I5" s="3">
        <v>7.7373664020808688</v>
      </c>
      <c r="J5" s="3">
        <v>87.08555326703663</v>
      </c>
      <c r="K5" s="3">
        <v>9.4800199704060741</v>
      </c>
      <c r="L5" s="3">
        <v>9.8133243376443442</v>
      </c>
      <c r="M5" s="3">
        <v>1.3248069943742542</v>
      </c>
      <c r="N5" s="3">
        <v>0</v>
      </c>
      <c r="O5" s="3">
        <v>0</v>
      </c>
      <c r="P5" s="3">
        <v>0</v>
      </c>
      <c r="Q5" s="3">
        <v>0</v>
      </c>
    </row>
    <row r="6" spans="1:17" x14ac:dyDescent="0.55000000000000004"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1" t="s">
        <v>34</v>
      </c>
      <c r="Q6" s="1" t="s">
        <v>35</v>
      </c>
    </row>
    <row r="19" spans="2:4" x14ac:dyDescent="0.55000000000000004">
      <c r="B19" s="1"/>
      <c r="C19" s="1"/>
    </row>
    <row r="25" spans="2:4" x14ac:dyDescent="0.55000000000000004">
      <c r="B25" s="1"/>
      <c r="C25" s="1"/>
    </row>
    <row r="32" spans="2:4" x14ac:dyDescent="0.55000000000000004">
      <c r="D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Binodals Data</vt:lpstr>
      <vt:lpstr>Average and SD</vt:lpstr>
      <vt:lpstr>Plot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Malvern Whende</cp:lastModifiedBy>
  <dcterms:created xsi:type="dcterms:W3CDTF">2024-10-23T08:12:58Z</dcterms:created>
  <dcterms:modified xsi:type="dcterms:W3CDTF">2025-07-10T08:10:01Z</dcterms:modified>
</cp:coreProperties>
</file>