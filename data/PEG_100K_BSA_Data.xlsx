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end\Desktop\PEG 100K Binodals\"/>
    </mc:Choice>
  </mc:AlternateContent>
  <xr:revisionPtr revIDLastSave="0" documentId="13_ncr:1_{5F4D5F21-7F76-4070-A7EC-AA15803A3DAF}" xr6:coauthVersionLast="47" xr6:coauthVersionMax="47" xr10:uidLastSave="{00000000-0000-0000-0000-000000000000}"/>
  <bookViews>
    <workbookView xWindow="-96" yWindow="-96" windowWidth="23232" windowHeight="13152" xr2:uid="{2254DE5E-D54F-4749-ACAA-1E56A2692683}"/>
  </bookViews>
  <sheets>
    <sheet name="Binodals Data" sheetId="9" r:id="rId1"/>
    <sheet name="Average and SD" sheetId="7" r:id="rId2"/>
    <sheet name="Plot Forma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9" l="1"/>
  <c r="M6" i="9"/>
  <c r="M7" i="9"/>
  <c r="M8" i="9"/>
  <c r="M10" i="9"/>
  <c r="M11" i="9"/>
  <c r="M12" i="9"/>
  <c r="M13" i="9"/>
  <c r="M14" i="9"/>
  <c r="M16" i="9"/>
  <c r="M17" i="9"/>
  <c r="M18" i="9"/>
  <c r="M19" i="9"/>
  <c r="M20" i="9"/>
  <c r="M22" i="9"/>
  <c r="M4" i="9"/>
  <c r="G5" i="9"/>
  <c r="G6" i="9"/>
  <c r="G7" i="9"/>
  <c r="G8" i="9"/>
  <c r="G10" i="9"/>
  <c r="G11" i="9"/>
  <c r="G12" i="9"/>
  <c r="G13" i="9"/>
  <c r="G14" i="9"/>
  <c r="G16" i="9"/>
  <c r="G17" i="9"/>
  <c r="G18" i="9"/>
  <c r="G19" i="9"/>
  <c r="G20" i="9"/>
  <c r="G22" i="9"/>
  <c r="F4" i="9"/>
  <c r="N5" i="9" l="1"/>
  <c r="N6" i="9"/>
  <c r="N7" i="9"/>
  <c r="N8" i="9"/>
  <c r="N10" i="9"/>
  <c r="N11" i="9"/>
  <c r="N12" i="9"/>
  <c r="N13" i="9"/>
  <c r="N14" i="9"/>
  <c r="N16" i="9"/>
  <c r="N17" i="9"/>
  <c r="N18" i="9"/>
  <c r="N19" i="9"/>
  <c r="N20" i="9"/>
  <c r="N22" i="9"/>
  <c r="N4" i="9"/>
  <c r="G4" i="9"/>
  <c r="F5" i="9"/>
  <c r="F6" i="9"/>
  <c r="F7" i="9"/>
  <c r="F8" i="9"/>
  <c r="F10" i="9"/>
  <c r="F11" i="9"/>
  <c r="F12" i="9"/>
  <c r="F13" i="9"/>
  <c r="F14" i="9"/>
  <c r="F16" i="9"/>
  <c r="F17" i="9"/>
  <c r="F18" i="9"/>
  <c r="F19" i="9"/>
  <c r="F20" i="9"/>
  <c r="F22" i="9"/>
</calcChain>
</file>

<file path=xl/sharedStrings.xml><?xml version="1.0" encoding="utf-8"?>
<sst xmlns="http://schemas.openxmlformats.org/spreadsheetml/2006/main" count="89" uniqueCount="62">
  <si>
    <t>Critical point</t>
  </si>
  <si>
    <t>BSA(mg/ml)</t>
  </si>
  <si>
    <t>PEG(mg/ml)</t>
  </si>
  <si>
    <t>Average</t>
  </si>
  <si>
    <t>SD</t>
  </si>
  <si>
    <t>Mix-S1</t>
  </si>
  <si>
    <t>Mix-S2</t>
  </si>
  <si>
    <t>Mix-S3</t>
  </si>
  <si>
    <t>Mix-S4</t>
  </si>
  <si>
    <t>Mix-S5</t>
  </si>
  <si>
    <t>Sup-S1</t>
  </si>
  <si>
    <t>Sup-S2</t>
  </si>
  <si>
    <t>Sup-S3</t>
  </si>
  <si>
    <t>Sup-S4</t>
  </si>
  <si>
    <t>Sup-S5</t>
  </si>
  <si>
    <t>Pellet-S1</t>
  </si>
  <si>
    <t>Pellet-S2</t>
  </si>
  <si>
    <t>Pellet-S3</t>
  </si>
  <si>
    <t>Pellet-S4</t>
  </si>
  <si>
    <t>Pellet-S5</t>
  </si>
  <si>
    <t>BSA Mix</t>
  </si>
  <si>
    <t>BSA Mix STD</t>
  </si>
  <si>
    <t>BSA Sup</t>
  </si>
  <si>
    <t>BSA Sup STD</t>
  </si>
  <si>
    <t>BSA Drop</t>
  </si>
  <si>
    <t>BSA Drop STD</t>
  </si>
  <si>
    <t>PEG Mix</t>
  </si>
  <si>
    <t>PEG Mix STD</t>
  </si>
  <si>
    <t>PEG Sup</t>
  </si>
  <si>
    <t>PEG Sup STD</t>
  </si>
  <si>
    <t>PEG Drop</t>
  </si>
  <si>
    <t>PEG Drop STD</t>
  </si>
  <si>
    <t>BSA Crit</t>
  </si>
  <si>
    <t>BSA Crit STD</t>
  </si>
  <si>
    <t>PEG Crit</t>
  </si>
  <si>
    <t>PEG Crit STD</t>
  </si>
  <si>
    <t>Mixture 1</t>
  </si>
  <si>
    <t>Mixture 2</t>
  </si>
  <si>
    <t>Mixture 3</t>
  </si>
  <si>
    <t>Mixture 4</t>
  </si>
  <si>
    <t>Mixture 5</t>
  </si>
  <si>
    <t>S1-Mix</t>
  </si>
  <si>
    <t>S2-Mix</t>
  </si>
  <si>
    <t>S3-Mix</t>
  </si>
  <si>
    <t>S4-Mix</t>
  </si>
  <si>
    <t>S5-Mix</t>
  </si>
  <si>
    <t>S1-Sup</t>
  </si>
  <si>
    <t>S2-Sup</t>
  </si>
  <si>
    <t>S3-Sup</t>
  </si>
  <si>
    <t>S4-Sup</t>
  </si>
  <si>
    <t>S5-Sup</t>
  </si>
  <si>
    <t>S1-Pellet</t>
  </si>
  <si>
    <t>S2-Pellet</t>
  </si>
  <si>
    <t>S3-Pellet</t>
  </si>
  <si>
    <t>S4-Pellet</t>
  </si>
  <si>
    <t>S5-Pellet</t>
  </si>
  <si>
    <t>R1</t>
  </si>
  <si>
    <t xml:space="preserve">R2 </t>
  </si>
  <si>
    <t>R3</t>
  </si>
  <si>
    <t>R2</t>
  </si>
  <si>
    <t xml:space="preserve">PEG-100K, 200 mM salt, pH-7.0 </t>
  </si>
  <si>
    <t xml:space="preserve">PEG 100K, 200 mM salt, pH-7.0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</si>
</sst>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1"/>
    <xf numFmtId="0" fontId="4" fillId="0" borderId="0" xfId="1" applyFont="1"/>
  </cellXfs>
  <cellStyles count="4">
    <cellStyle name="20% - Accent1 2" xfId="3" xr:uid="{2773FFE7-F328-42C0-8214-98DEB97D2242}"/>
    <cellStyle name="Accent1 2" xfId="2" xr:uid="{FBDFB4DB-8517-4C8D-A005-CB136D29DF79}"/>
    <cellStyle name="Normal" xfId="0" builtinId="0"/>
    <cellStyle name="Normal 2" xfId="1" xr:uid="{B515AD66-42C1-4D41-9F36-9FB798705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7790-30AB-465D-A29E-A81A7627F703}">
  <dimension ref="B1:N22"/>
  <sheetViews>
    <sheetView tabSelected="1" workbookViewId="0">
      <selection activeCell="F21" sqref="F21"/>
    </sheetView>
  </sheetViews>
  <sheetFormatPr defaultRowHeight="14.4" x14ac:dyDescent="0.55000000000000004"/>
  <cols>
    <col min="2" max="2" width="10.62890625" customWidth="1"/>
  </cols>
  <sheetData>
    <row r="1" spans="2:14" ht="15.6" x14ac:dyDescent="0.6">
      <c r="B1" s="5" t="s">
        <v>60</v>
      </c>
    </row>
    <row r="2" spans="2:14" x14ac:dyDescent="0.55000000000000004">
      <c r="C2" s="1" t="s">
        <v>1</v>
      </c>
      <c r="D2" s="1"/>
      <c r="E2" s="1"/>
      <c r="J2" s="1" t="s">
        <v>2</v>
      </c>
      <c r="K2" s="1"/>
      <c r="L2" s="1"/>
    </row>
    <row r="3" spans="2:14" x14ac:dyDescent="0.55000000000000004">
      <c r="C3" s="1" t="s">
        <v>56</v>
      </c>
      <c r="D3" s="1" t="s">
        <v>57</v>
      </c>
      <c r="E3" s="1" t="s">
        <v>58</v>
      </c>
      <c r="F3" s="1" t="s">
        <v>3</v>
      </c>
      <c r="G3" s="1" t="s">
        <v>4</v>
      </c>
      <c r="J3" s="1" t="s">
        <v>56</v>
      </c>
      <c r="K3" s="1" t="s">
        <v>59</v>
      </c>
      <c r="L3" s="1" t="s">
        <v>58</v>
      </c>
      <c r="M3" s="1" t="s">
        <v>3</v>
      </c>
      <c r="N3" s="1" t="s">
        <v>4</v>
      </c>
    </row>
    <row r="4" spans="2:14" ht="15.6" x14ac:dyDescent="0.6">
      <c r="B4" s="1" t="s">
        <v>41</v>
      </c>
      <c r="C4">
        <v>191.55523192310494</v>
      </c>
      <c r="D4">
        <v>185.42804437000896</v>
      </c>
      <c r="E4">
        <v>193.81261681108762</v>
      </c>
      <c r="F4">
        <f>AVERAGE(C4:E4)</f>
        <v>190.26529770140053</v>
      </c>
      <c r="G4">
        <f>_xlfn.STDEV.P(C4:E4)</f>
        <v>3.5424296254752528</v>
      </c>
      <c r="I4" s="1" t="s">
        <v>41</v>
      </c>
      <c r="J4">
        <v>93.936554724451</v>
      </c>
      <c r="K4">
        <v>93.228490241603396</v>
      </c>
      <c r="L4" s="4">
        <v>103.41398861805509</v>
      </c>
      <c r="M4">
        <f>AVERAGE(J4:L4)</f>
        <v>96.859677861369832</v>
      </c>
      <c r="N4">
        <f>_xlfn.STDEV.P(J4:L4)</f>
        <v>4.6436035539487088</v>
      </c>
    </row>
    <row r="5" spans="2:14" ht="15.6" x14ac:dyDescent="0.6">
      <c r="B5" s="1" t="s">
        <v>42</v>
      </c>
      <c r="C5">
        <v>188.33039636884388</v>
      </c>
      <c r="D5">
        <v>170.91628437583438</v>
      </c>
      <c r="E5">
        <v>187.36294570256561</v>
      </c>
      <c r="F5">
        <f t="shared" ref="F5:F22" si="0">AVERAGE(C5:E5)</f>
        <v>182.20320881574796</v>
      </c>
      <c r="G5">
        <f t="shared" ref="G5:G22" si="1">_xlfn.STDEV.P(C5:E5)</f>
        <v>7.9908275617384952</v>
      </c>
      <c r="I5" s="1" t="s">
        <v>42</v>
      </c>
      <c r="J5">
        <v>89.023366401531106</v>
      </c>
      <c r="K5">
        <v>87.801559669091702</v>
      </c>
      <c r="L5" s="4">
        <v>89.409491846164258</v>
      </c>
      <c r="M5">
        <f t="shared" ref="M5:M22" si="2">AVERAGE(J5:L5)</f>
        <v>88.744805972262341</v>
      </c>
      <c r="N5">
        <f t="shared" ref="N5:N22" si="3">_xlfn.STDEV.P(J5:L5)</f>
        <v>0.68535071609705311</v>
      </c>
    </row>
    <row r="6" spans="2:14" ht="15.6" x14ac:dyDescent="0.6">
      <c r="B6" s="1" t="s">
        <v>43</v>
      </c>
      <c r="C6">
        <v>158.01694215879024</v>
      </c>
      <c r="D6">
        <v>171.56125148668656</v>
      </c>
      <c r="E6">
        <v>182.84817592660013</v>
      </c>
      <c r="F6">
        <f t="shared" si="0"/>
        <v>170.80878985735899</v>
      </c>
      <c r="G6">
        <f t="shared" si="1"/>
        <v>10.151262367660268</v>
      </c>
      <c r="I6" s="1" t="s">
        <v>43</v>
      </c>
      <c r="J6">
        <v>86.090345977165114</v>
      </c>
      <c r="K6">
        <v>81.585178355668802</v>
      </c>
      <c r="L6" s="4">
        <v>86.41112975351227</v>
      </c>
      <c r="M6">
        <f t="shared" si="2"/>
        <v>84.695551362115395</v>
      </c>
      <c r="N6">
        <f t="shared" si="3"/>
        <v>2.2032613307270354</v>
      </c>
    </row>
    <row r="7" spans="2:14" ht="15.6" x14ac:dyDescent="0.6">
      <c r="B7" s="1" t="s">
        <v>44</v>
      </c>
      <c r="C7">
        <v>137.7004781669458</v>
      </c>
      <c r="D7">
        <v>153.82465593825091</v>
      </c>
      <c r="E7">
        <v>152.85720527197262</v>
      </c>
      <c r="F7">
        <f t="shared" si="0"/>
        <v>148.12744645905642</v>
      </c>
      <c r="G7">
        <f t="shared" si="1"/>
        <v>7.3835511339477264</v>
      </c>
      <c r="I7" s="1" t="s">
        <v>44</v>
      </c>
      <c r="J7">
        <v>71.880935908868977</v>
      </c>
      <c r="K7">
        <v>72.020456359002637</v>
      </c>
      <c r="L7" s="4">
        <v>79.590173994333256</v>
      </c>
      <c r="M7">
        <f t="shared" si="2"/>
        <v>74.49718875406829</v>
      </c>
      <c r="N7">
        <f t="shared" si="3"/>
        <v>3.6017348118343353</v>
      </c>
    </row>
    <row r="8" spans="2:14" ht="15.6" x14ac:dyDescent="0.6">
      <c r="B8" s="1" t="s">
        <v>45</v>
      </c>
      <c r="C8">
        <v>130.60583994757152</v>
      </c>
      <c r="D8">
        <v>132.54074128012817</v>
      </c>
      <c r="E8">
        <v>141.24779727663292</v>
      </c>
      <c r="F8">
        <f t="shared" si="0"/>
        <v>134.79812616811088</v>
      </c>
      <c r="G8">
        <f t="shared" si="1"/>
        <v>4.6285097564090325</v>
      </c>
      <c r="I8" s="1" t="s">
        <v>45</v>
      </c>
      <c r="J8">
        <v>61.738667414572646</v>
      </c>
      <c r="K8">
        <v>61.088144741781633</v>
      </c>
      <c r="L8" s="4">
        <v>67.267837411454252</v>
      </c>
      <c r="M8">
        <f t="shared" si="2"/>
        <v>63.364883189269506</v>
      </c>
      <c r="N8">
        <f t="shared" si="3"/>
        <v>2.7725540189875555</v>
      </c>
    </row>
    <row r="9" spans="2:14" x14ac:dyDescent="0.55000000000000004">
      <c r="B9" s="1"/>
      <c r="I9" s="1"/>
    </row>
    <row r="10" spans="2:14" ht="15.6" x14ac:dyDescent="0.6">
      <c r="B10" s="1" t="s">
        <v>46</v>
      </c>
      <c r="C10">
        <v>12.496237772761475</v>
      </c>
      <c r="D10">
        <v>10.077611107065705</v>
      </c>
      <c r="E10">
        <v>13.221825772470206</v>
      </c>
      <c r="F10">
        <f t="shared" si="0"/>
        <v>11.931891550765796</v>
      </c>
      <c r="G10">
        <f t="shared" si="1"/>
        <v>1.3442188460829196</v>
      </c>
      <c r="I10" s="1" t="s">
        <v>46</v>
      </c>
      <c r="J10">
        <v>206.13855064532299</v>
      </c>
      <c r="K10">
        <v>190.869028375299</v>
      </c>
      <c r="L10" s="4">
        <v>195.28915324293766</v>
      </c>
      <c r="M10">
        <f t="shared" si="2"/>
        <v>197.43224408785321</v>
      </c>
      <c r="N10">
        <f t="shared" si="3"/>
        <v>6.4153049481096573</v>
      </c>
    </row>
    <row r="11" spans="2:14" ht="15.6" x14ac:dyDescent="0.6">
      <c r="B11" s="1" t="s">
        <v>47</v>
      </c>
      <c r="C11">
        <v>15.640452438165978</v>
      </c>
      <c r="D11">
        <v>11.448166217626641</v>
      </c>
      <c r="E11">
        <v>14.269897327605038</v>
      </c>
      <c r="F11">
        <f t="shared" si="0"/>
        <v>13.786171994465887</v>
      </c>
      <c r="G11">
        <f t="shared" si="1"/>
        <v>1.7453382837664881</v>
      </c>
      <c r="I11" s="1" t="s">
        <v>47</v>
      </c>
      <c r="J11">
        <v>189.11793637185599</v>
      </c>
      <c r="K11">
        <v>168.35271831287699</v>
      </c>
      <c r="L11" s="4">
        <v>164.9108405162585</v>
      </c>
      <c r="M11">
        <f t="shared" si="2"/>
        <v>174.12716506699715</v>
      </c>
      <c r="N11">
        <f t="shared" si="3"/>
        <v>10.692802842025658</v>
      </c>
    </row>
    <row r="12" spans="2:14" ht="15.6" x14ac:dyDescent="0.6">
      <c r="B12" s="1" t="s">
        <v>48</v>
      </c>
      <c r="C12">
        <v>19.107150658996577</v>
      </c>
      <c r="D12">
        <v>21.12267288040972</v>
      </c>
      <c r="E12">
        <v>23.702541323818537</v>
      </c>
      <c r="F12">
        <f t="shared" si="0"/>
        <v>21.310788287741612</v>
      </c>
      <c r="G12">
        <f t="shared" si="1"/>
        <v>1.8807701251419919</v>
      </c>
      <c r="I12" s="1" t="s">
        <v>48</v>
      </c>
      <c r="J12">
        <v>147.00847510363775</v>
      </c>
      <c r="K12">
        <v>151.82053648182551</v>
      </c>
      <c r="L12" s="4">
        <v>142.93119844436887</v>
      </c>
      <c r="M12">
        <f t="shared" si="2"/>
        <v>147.25340334327737</v>
      </c>
      <c r="N12">
        <f t="shared" si="3"/>
        <v>3.6331873121703198</v>
      </c>
    </row>
    <row r="13" spans="2:14" ht="15.6" x14ac:dyDescent="0.6">
      <c r="B13" s="1" t="s">
        <v>49</v>
      </c>
      <c r="C13">
        <v>26.28240976722736</v>
      </c>
      <c r="D13">
        <v>26.60489332265346</v>
      </c>
      <c r="E13">
        <v>34.102635986310347</v>
      </c>
      <c r="F13">
        <f t="shared" si="0"/>
        <v>28.996646358730388</v>
      </c>
      <c r="G13">
        <f t="shared" si="1"/>
        <v>3.612879412010662</v>
      </c>
      <c r="I13" s="1" t="s">
        <v>49</v>
      </c>
      <c r="J13">
        <v>121.33727637723401</v>
      </c>
      <c r="K13">
        <v>124.59684055123626</v>
      </c>
      <c r="L13" s="4">
        <v>117.27224752262376</v>
      </c>
      <c r="M13">
        <f t="shared" si="2"/>
        <v>121.06878815036468</v>
      </c>
      <c r="N13">
        <f t="shared" si="3"/>
        <v>2.9962732635364748</v>
      </c>
    </row>
    <row r="14" spans="2:14" ht="15.6" x14ac:dyDescent="0.6">
      <c r="B14" s="1" t="s">
        <v>50</v>
      </c>
      <c r="C14">
        <v>47.727566203063176</v>
      </c>
      <c r="D14">
        <v>50.952401757324203</v>
      </c>
      <c r="E14">
        <v>59.175732420689819</v>
      </c>
      <c r="F14">
        <f t="shared" si="0"/>
        <v>52.618566793692402</v>
      </c>
      <c r="G14">
        <f t="shared" si="1"/>
        <v>4.8199036562234214</v>
      </c>
      <c r="I14" s="1" t="s">
        <v>50</v>
      </c>
      <c r="J14">
        <v>89.798981404061379</v>
      </c>
      <c r="K14">
        <v>92.026138680947838</v>
      </c>
      <c r="L14" s="4">
        <v>93.04147220701644</v>
      </c>
      <c r="M14">
        <f t="shared" si="2"/>
        <v>91.622197430675214</v>
      </c>
      <c r="N14">
        <f t="shared" si="3"/>
        <v>1.354206545562356</v>
      </c>
    </row>
    <row r="15" spans="2:14" x14ac:dyDescent="0.55000000000000004">
      <c r="B15" s="1"/>
      <c r="I15" s="1"/>
    </row>
    <row r="16" spans="2:14" ht="15.6" x14ac:dyDescent="0.6">
      <c r="B16" s="1" t="s">
        <v>51</v>
      </c>
      <c r="C16">
        <v>421.16352338649</v>
      </c>
      <c r="D16">
        <v>385.69033228961899</v>
      </c>
      <c r="E16">
        <v>417.2937207213767</v>
      </c>
      <c r="F16">
        <f t="shared" si="0"/>
        <v>408.04919213249519</v>
      </c>
      <c r="G16">
        <f t="shared" si="1"/>
        <v>15.888838918598745</v>
      </c>
      <c r="I16" s="1" t="s">
        <v>51</v>
      </c>
      <c r="J16">
        <v>2.4591047078732702</v>
      </c>
      <c r="K16">
        <v>3.3186894367170101</v>
      </c>
      <c r="L16" s="4">
        <v>3.2927727593630229</v>
      </c>
      <c r="M16">
        <f t="shared" si="2"/>
        <v>3.0235223013177674</v>
      </c>
      <c r="N16">
        <f t="shared" si="3"/>
        <v>0.39924372955504195</v>
      </c>
    </row>
    <row r="17" spans="2:14" ht="15.6" x14ac:dyDescent="0.6">
      <c r="B17" s="1" t="s">
        <v>52</v>
      </c>
      <c r="C17">
        <v>385.69033228961865</v>
      </c>
      <c r="D17">
        <v>356.66681230126949</v>
      </c>
      <c r="E17">
        <v>412.1339838345591</v>
      </c>
      <c r="F17">
        <f t="shared" si="0"/>
        <v>384.83037614181575</v>
      </c>
      <c r="G17">
        <f t="shared" si="1"/>
        <v>22.652541033446283</v>
      </c>
      <c r="I17" s="1" t="s">
        <v>52</v>
      </c>
      <c r="J17">
        <v>2.7233382593622002</v>
      </c>
      <c r="K17">
        <v>4.8703093896723999</v>
      </c>
      <c r="L17" s="4">
        <v>4.2460965276083318</v>
      </c>
      <c r="M17">
        <f t="shared" si="2"/>
        <v>3.9465813922143105</v>
      </c>
      <c r="N17">
        <f t="shared" si="3"/>
        <v>0.9017217774324624</v>
      </c>
    </row>
    <row r="18" spans="2:14" ht="15.6" x14ac:dyDescent="0.6">
      <c r="B18" s="1" t="s">
        <v>53</v>
      </c>
      <c r="C18">
        <v>358.60171363382614</v>
      </c>
      <c r="D18">
        <v>361.18158207723491</v>
      </c>
      <c r="E18">
        <v>398.58967450666279</v>
      </c>
      <c r="F18">
        <f t="shared" si="0"/>
        <v>372.79099007257463</v>
      </c>
      <c r="G18">
        <f t="shared" si="1"/>
        <v>18.272803455656387</v>
      </c>
      <c r="I18" s="1" t="s">
        <v>53</v>
      </c>
      <c r="J18">
        <v>9.2799467577426391</v>
      </c>
      <c r="K18">
        <v>5.1183462239851805</v>
      </c>
      <c r="L18" s="4">
        <v>7.8406176815480855</v>
      </c>
      <c r="M18">
        <f t="shared" si="2"/>
        <v>7.4129702210919683</v>
      </c>
      <c r="N18">
        <f t="shared" si="3"/>
        <v>1.7256673131416942</v>
      </c>
    </row>
    <row r="19" spans="2:14" ht="15.6" x14ac:dyDescent="0.6">
      <c r="B19" s="1" t="s">
        <v>54</v>
      </c>
      <c r="C19">
        <v>326.99832520206803</v>
      </c>
      <c r="D19">
        <v>317.96878565013714</v>
      </c>
      <c r="E19">
        <v>368.92118740746133</v>
      </c>
      <c r="F19">
        <f t="shared" si="0"/>
        <v>337.96276608655552</v>
      </c>
      <c r="G19">
        <f t="shared" si="1"/>
        <v>22.199114609101098</v>
      </c>
      <c r="I19" s="1" t="s">
        <v>54</v>
      </c>
      <c r="J19">
        <v>9.9296026322409965</v>
      </c>
      <c r="K19">
        <v>6.9568282428675108</v>
      </c>
      <c r="L19" s="4">
        <v>8.7598420879546151</v>
      </c>
      <c r="M19">
        <f t="shared" si="2"/>
        <v>8.5487576543543753</v>
      </c>
      <c r="N19">
        <f t="shared" si="3"/>
        <v>1.2227739968639493</v>
      </c>
    </row>
    <row r="20" spans="2:14" ht="15.6" x14ac:dyDescent="0.6">
      <c r="B20" s="1" t="s">
        <v>55</v>
      </c>
      <c r="C20">
        <v>276.04592344474378</v>
      </c>
      <c r="D20">
        <v>279.27075899900484</v>
      </c>
      <c r="E20">
        <v>292.17010121604892</v>
      </c>
      <c r="F20">
        <f t="shared" si="0"/>
        <v>282.49559455326585</v>
      </c>
      <c r="G20">
        <f t="shared" si="1"/>
        <v>6.9664410073906993</v>
      </c>
      <c r="I20" s="1" t="s">
        <v>55</v>
      </c>
      <c r="J20">
        <v>12.059587596255254</v>
      </c>
      <c r="K20">
        <v>11.48546372691084</v>
      </c>
      <c r="L20" s="4">
        <v>11.891846393230614</v>
      </c>
      <c r="M20">
        <f t="shared" si="2"/>
        <v>11.812299238798902</v>
      </c>
      <c r="N20">
        <f t="shared" si="3"/>
        <v>0.24103992293309309</v>
      </c>
    </row>
    <row r="21" spans="2:14" x14ac:dyDescent="0.55000000000000004">
      <c r="B21" s="1"/>
      <c r="I21" s="1"/>
    </row>
    <row r="22" spans="2:14" ht="15.6" x14ac:dyDescent="0.6">
      <c r="B22" s="1" t="s">
        <v>0</v>
      </c>
      <c r="C22">
        <v>106.74205684603997</v>
      </c>
      <c r="D22">
        <v>117.38401417510134</v>
      </c>
      <c r="E22">
        <v>118.23840141751</v>
      </c>
      <c r="F22">
        <f t="shared" si="0"/>
        <v>114.12149081288378</v>
      </c>
      <c r="G22">
        <f t="shared" si="1"/>
        <v>5.2296927024605502</v>
      </c>
      <c r="I22" s="1" t="s">
        <v>0</v>
      </c>
      <c r="J22">
        <v>48.477840496679065</v>
      </c>
      <c r="K22">
        <v>49.818661541565731</v>
      </c>
      <c r="L22" s="4">
        <v>52.780852227821015</v>
      </c>
      <c r="M22">
        <f t="shared" si="2"/>
        <v>50.359118088688604</v>
      </c>
      <c r="N22">
        <f t="shared" si="3"/>
        <v>1.7977852020532179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3E4A-E851-4C11-94BC-525FDA26358A}">
  <dimension ref="C2:H23"/>
  <sheetViews>
    <sheetView topLeftCell="A2" workbookViewId="0">
      <selection activeCell="G23" sqref="G23:H23"/>
    </sheetView>
  </sheetViews>
  <sheetFormatPr defaultColWidth="8.83984375" defaultRowHeight="14.4" x14ac:dyDescent="0.55000000000000004"/>
  <cols>
    <col min="3" max="3" width="11.15625" customWidth="1"/>
  </cols>
  <sheetData>
    <row r="2" spans="3:8" ht="15.6" x14ac:dyDescent="0.6">
      <c r="C2" s="5" t="s">
        <v>61</v>
      </c>
    </row>
    <row r="3" spans="3:8" x14ac:dyDescent="0.55000000000000004">
      <c r="D3" s="1" t="s">
        <v>1</v>
      </c>
      <c r="E3" s="1"/>
      <c r="F3" s="1"/>
      <c r="G3" s="1" t="s">
        <v>2</v>
      </c>
      <c r="H3" s="1"/>
    </row>
    <row r="4" spans="3:8" x14ac:dyDescent="0.55000000000000004">
      <c r="D4" s="1" t="s">
        <v>3</v>
      </c>
      <c r="E4" s="1" t="s">
        <v>4</v>
      </c>
      <c r="F4" s="1"/>
      <c r="G4" s="1" t="s">
        <v>3</v>
      </c>
      <c r="H4" s="1" t="s">
        <v>4</v>
      </c>
    </row>
    <row r="5" spans="3:8" x14ac:dyDescent="0.55000000000000004">
      <c r="C5" t="s">
        <v>5</v>
      </c>
      <c r="D5" s="1">
        <v>190.26529770140053</v>
      </c>
      <c r="E5" s="1">
        <v>3.5424296254752528</v>
      </c>
      <c r="G5">
        <v>96.859677861369832</v>
      </c>
      <c r="H5">
        <v>4.6436035539487088</v>
      </c>
    </row>
    <row r="6" spans="3:8" x14ac:dyDescent="0.55000000000000004">
      <c r="C6" t="s">
        <v>6</v>
      </c>
      <c r="D6" s="1">
        <v>182.20320881574796</v>
      </c>
      <c r="E6" s="1">
        <v>7.9908275617384952</v>
      </c>
      <c r="G6">
        <v>88.744805972262341</v>
      </c>
      <c r="H6">
        <v>0.68535071609705311</v>
      </c>
    </row>
    <row r="7" spans="3:8" x14ac:dyDescent="0.55000000000000004">
      <c r="C7" t="s">
        <v>7</v>
      </c>
      <c r="D7" s="1">
        <v>170.80878985735899</v>
      </c>
      <c r="E7" s="1">
        <v>10.151262367660268</v>
      </c>
      <c r="G7">
        <v>84.695551362115395</v>
      </c>
      <c r="H7">
        <v>2.2032613307270354</v>
      </c>
    </row>
    <row r="8" spans="3:8" x14ac:dyDescent="0.55000000000000004">
      <c r="C8" t="s">
        <v>8</v>
      </c>
      <c r="D8" s="1">
        <v>148.12744645905642</v>
      </c>
      <c r="E8" s="1">
        <v>7.3835511339477264</v>
      </c>
      <c r="G8">
        <v>74.49718875406829</v>
      </c>
      <c r="H8">
        <v>3.6017348118343353</v>
      </c>
    </row>
    <row r="9" spans="3:8" x14ac:dyDescent="0.55000000000000004">
      <c r="C9" t="s">
        <v>9</v>
      </c>
      <c r="D9" s="1">
        <v>134.79812616811088</v>
      </c>
      <c r="E9" s="1">
        <v>4.6285097564090325</v>
      </c>
      <c r="G9">
        <v>63.364883189269506</v>
      </c>
      <c r="H9">
        <v>2.7725540189875555</v>
      </c>
    </row>
    <row r="10" spans="3:8" x14ac:dyDescent="0.55000000000000004">
      <c r="D10" s="1"/>
      <c r="E10" s="1"/>
    </row>
    <row r="11" spans="3:8" x14ac:dyDescent="0.55000000000000004">
      <c r="C11" t="s">
        <v>10</v>
      </c>
      <c r="D11" s="1">
        <v>11.931891550765796</v>
      </c>
      <c r="E11" s="1">
        <v>1.3442188460829196</v>
      </c>
      <c r="G11">
        <v>197.43224408785321</v>
      </c>
      <c r="H11">
        <v>6.4153049481096573</v>
      </c>
    </row>
    <row r="12" spans="3:8" x14ac:dyDescent="0.55000000000000004">
      <c r="C12" t="s">
        <v>11</v>
      </c>
      <c r="D12" s="1">
        <v>13.786171994465887</v>
      </c>
      <c r="E12" s="1">
        <v>1.7453382837664881</v>
      </c>
      <c r="G12">
        <v>174.12716506699715</v>
      </c>
      <c r="H12">
        <v>10.692802842025658</v>
      </c>
    </row>
    <row r="13" spans="3:8" x14ac:dyDescent="0.55000000000000004">
      <c r="C13" t="s">
        <v>12</v>
      </c>
      <c r="D13" s="1">
        <v>21.310788287741612</v>
      </c>
      <c r="E13" s="1">
        <v>1.8807701251419919</v>
      </c>
      <c r="G13">
        <v>147.25340334327737</v>
      </c>
      <c r="H13">
        <v>3.6331873121703198</v>
      </c>
    </row>
    <row r="14" spans="3:8" x14ac:dyDescent="0.55000000000000004">
      <c r="C14" t="s">
        <v>13</v>
      </c>
      <c r="D14" s="1">
        <v>28.996646358730388</v>
      </c>
      <c r="E14" s="1">
        <v>3.612879412010662</v>
      </c>
      <c r="G14">
        <v>121.06878815036468</v>
      </c>
      <c r="H14">
        <v>2.9962732635364748</v>
      </c>
    </row>
    <row r="15" spans="3:8" x14ac:dyDescent="0.55000000000000004">
      <c r="C15" t="s">
        <v>14</v>
      </c>
      <c r="D15" s="1">
        <v>52.618566793692402</v>
      </c>
      <c r="E15" s="1">
        <v>4.8199036562234214</v>
      </c>
      <c r="G15">
        <v>91.622197430675214</v>
      </c>
      <c r="H15">
        <v>1.354206545562356</v>
      </c>
    </row>
    <row r="16" spans="3:8" x14ac:dyDescent="0.55000000000000004">
      <c r="D16" s="1"/>
      <c r="E16" s="1"/>
    </row>
    <row r="17" spans="3:8" x14ac:dyDescent="0.55000000000000004">
      <c r="C17" t="s">
        <v>15</v>
      </c>
      <c r="D17" s="1">
        <v>408.04919213249519</v>
      </c>
      <c r="E17" s="1">
        <v>15.888838918598745</v>
      </c>
      <c r="G17">
        <v>3.0235223013177674</v>
      </c>
      <c r="H17">
        <v>0.39924372955504195</v>
      </c>
    </row>
    <row r="18" spans="3:8" x14ac:dyDescent="0.55000000000000004">
      <c r="C18" t="s">
        <v>16</v>
      </c>
      <c r="D18" s="1">
        <v>384.83037614181575</v>
      </c>
      <c r="E18" s="1">
        <v>22.652541033446283</v>
      </c>
      <c r="G18">
        <v>3.9465813922143105</v>
      </c>
      <c r="H18">
        <v>0.9017217774324624</v>
      </c>
    </row>
    <row r="19" spans="3:8" x14ac:dyDescent="0.55000000000000004">
      <c r="C19" t="s">
        <v>17</v>
      </c>
      <c r="D19" s="1">
        <v>372.79099007257463</v>
      </c>
      <c r="E19" s="1">
        <v>18.272803455656387</v>
      </c>
      <c r="G19">
        <v>7.4129702210919683</v>
      </c>
      <c r="H19">
        <v>1.7256673131416942</v>
      </c>
    </row>
    <row r="20" spans="3:8" x14ac:dyDescent="0.55000000000000004">
      <c r="C20" t="s">
        <v>18</v>
      </c>
      <c r="D20" s="1">
        <v>337.96276608655552</v>
      </c>
      <c r="E20" s="1">
        <v>22.199114609101098</v>
      </c>
      <c r="G20">
        <v>8.5487576543543753</v>
      </c>
      <c r="H20">
        <v>1.2227739968639493</v>
      </c>
    </row>
    <row r="21" spans="3:8" x14ac:dyDescent="0.55000000000000004">
      <c r="C21" t="s">
        <v>19</v>
      </c>
      <c r="D21" s="1">
        <v>282.49559455326585</v>
      </c>
      <c r="E21" s="1">
        <v>6.9664410073906993</v>
      </c>
      <c r="G21">
        <v>11.812299238798902</v>
      </c>
      <c r="H21">
        <v>0.24103992293309309</v>
      </c>
    </row>
    <row r="23" spans="3:8" x14ac:dyDescent="0.55000000000000004">
      <c r="C23" s="1" t="s">
        <v>0</v>
      </c>
      <c r="D23" s="1">
        <v>114.12149081288378</v>
      </c>
      <c r="E23" s="1">
        <v>5.2296927024605502</v>
      </c>
      <c r="F23" s="1"/>
      <c r="G23">
        <v>50.359118088688604</v>
      </c>
      <c r="H23">
        <v>1.7977852020532179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A20E-1ED5-914A-9D43-D66DC728A387}">
  <dimension ref="A1:Q32"/>
  <sheetViews>
    <sheetView workbookViewId="0">
      <selection activeCell="L12" sqref="L12"/>
    </sheetView>
  </sheetViews>
  <sheetFormatPr defaultColWidth="10.9453125" defaultRowHeight="14.4" x14ac:dyDescent="0.55000000000000004"/>
  <cols>
    <col min="2" max="2" width="11.15625" bestFit="1" customWidth="1"/>
    <col min="3" max="5" width="11" bestFit="1" customWidth="1"/>
    <col min="6" max="6" width="11.15625" bestFit="1" customWidth="1"/>
    <col min="7" max="7" width="11" bestFit="1" customWidth="1"/>
  </cols>
  <sheetData>
    <row r="1" spans="1:17" x14ac:dyDescent="0.55000000000000004">
      <c r="A1" t="s">
        <v>36</v>
      </c>
      <c r="B1" s="3">
        <v>190.26529770140053</v>
      </c>
      <c r="C1" s="3">
        <v>3.5424296254752528</v>
      </c>
      <c r="D1" s="3">
        <v>11.931891550765796</v>
      </c>
      <c r="E1" s="3">
        <v>1.3442188460829196</v>
      </c>
      <c r="F1" s="3">
        <v>408.04919213249519</v>
      </c>
      <c r="G1" s="3">
        <v>15.888838918598745</v>
      </c>
      <c r="H1" s="3">
        <v>96.859677861369832</v>
      </c>
      <c r="I1" s="3">
        <v>4.6436035539487088</v>
      </c>
      <c r="J1" s="3">
        <v>197.43224408785321</v>
      </c>
      <c r="K1" s="3">
        <v>6.4153049481096573</v>
      </c>
      <c r="L1" s="3">
        <v>3.0235223013177674</v>
      </c>
      <c r="M1" s="3">
        <v>0.39924372955504195</v>
      </c>
      <c r="N1" s="2">
        <v>114.12149081288378</v>
      </c>
      <c r="O1" s="2">
        <v>5.2296927024605502</v>
      </c>
      <c r="P1" s="3">
        <v>50.359118088688604</v>
      </c>
      <c r="Q1" s="3">
        <v>1.7977852020532179</v>
      </c>
    </row>
    <row r="2" spans="1:17" x14ac:dyDescent="0.55000000000000004">
      <c r="A2" t="s">
        <v>37</v>
      </c>
      <c r="B2" s="3">
        <v>182.20320881574796</v>
      </c>
      <c r="C2" s="3">
        <v>7.9908275617384952</v>
      </c>
      <c r="D2" s="3">
        <v>13.786171994465887</v>
      </c>
      <c r="E2" s="3">
        <v>1.7453382837664881</v>
      </c>
      <c r="F2" s="3">
        <v>384.83037614181575</v>
      </c>
      <c r="G2" s="3">
        <v>22.652541033446283</v>
      </c>
      <c r="H2" s="3">
        <v>88.744805972262341</v>
      </c>
      <c r="I2" s="3">
        <v>0.68535071609705311</v>
      </c>
      <c r="J2" s="3">
        <v>174.12716506699715</v>
      </c>
      <c r="K2" s="3">
        <v>10.692802842025658</v>
      </c>
      <c r="L2" s="3">
        <v>3.9465813922143105</v>
      </c>
      <c r="M2" s="3">
        <v>0.9017217774324624</v>
      </c>
      <c r="N2" s="3">
        <v>0</v>
      </c>
      <c r="O2" s="3">
        <v>0</v>
      </c>
      <c r="P2" s="3">
        <v>0</v>
      </c>
      <c r="Q2" s="3">
        <v>0</v>
      </c>
    </row>
    <row r="3" spans="1:17" x14ac:dyDescent="0.55000000000000004">
      <c r="A3" t="s">
        <v>38</v>
      </c>
      <c r="B3" s="3">
        <v>170.80878985735899</v>
      </c>
      <c r="C3" s="3">
        <v>10.151262367660268</v>
      </c>
      <c r="D3" s="3">
        <v>21.310788287741612</v>
      </c>
      <c r="E3" s="3">
        <v>1.8807701251419919</v>
      </c>
      <c r="F3" s="3">
        <v>372.79099007257463</v>
      </c>
      <c r="G3" s="3">
        <v>18.272803455656387</v>
      </c>
      <c r="H3" s="3">
        <v>84.695551362115395</v>
      </c>
      <c r="I3" s="3">
        <v>2.2032613307270354</v>
      </c>
      <c r="J3" s="3">
        <v>147.25340334327737</v>
      </c>
      <c r="K3" s="3">
        <v>3.6331873121703198</v>
      </c>
      <c r="L3" s="3">
        <v>7.4129702210919683</v>
      </c>
      <c r="M3" s="3">
        <v>1.7256673131416942</v>
      </c>
      <c r="N3" s="3">
        <v>0</v>
      </c>
      <c r="O3" s="3">
        <v>0</v>
      </c>
      <c r="P3" s="3">
        <v>0</v>
      </c>
      <c r="Q3" s="3">
        <v>0</v>
      </c>
    </row>
    <row r="4" spans="1:17" x14ac:dyDescent="0.55000000000000004">
      <c r="A4" t="s">
        <v>39</v>
      </c>
      <c r="B4" s="3">
        <v>148.12744645905642</v>
      </c>
      <c r="C4" s="3">
        <v>7.3835511339477264</v>
      </c>
      <c r="D4" s="3">
        <v>28.996646358730388</v>
      </c>
      <c r="E4" s="3">
        <v>3.612879412010662</v>
      </c>
      <c r="F4" s="3">
        <v>337.96276608655552</v>
      </c>
      <c r="G4" s="3">
        <v>22.199114609101098</v>
      </c>
      <c r="H4" s="3">
        <v>74.49718875406829</v>
      </c>
      <c r="I4" s="3">
        <v>3.6017348118343353</v>
      </c>
      <c r="J4" s="3">
        <v>121.06878815036468</v>
      </c>
      <c r="K4" s="3">
        <v>2.9962732635364748</v>
      </c>
      <c r="L4" s="3">
        <v>8.5487576543543753</v>
      </c>
      <c r="M4" s="3">
        <v>1.2227739968639493</v>
      </c>
      <c r="N4" s="3">
        <v>0</v>
      </c>
      <c r="O4" s="3">
        <v>0</v>
      </c>
      <c r="P4" s="3">
        <v>0</v>
      </c>
      <c r="Q4" s="3">
        <v>0</v>
      </c>
    </row>
    <row r="5" spans="1:17" x14ac:dyDescent="0.55000000000000004">
      <c r="A5" t="s">
        <v>40</v>
      </c>
      <c r="B5" s="3">
        <v>134.79812616811088</v>
      </c>
      <c r="C5" s="3">
        <v>4.6285097564090325</v>
      </c>
      <c r="D5" s="3">
        <v>52.618566793692402</v>
      </c>
      <c r="E5" s="3">
        <v>4.8199036562234214</v>
      </c>
      <c r="F5" s="3">
        <v>282.49559455326585</v>
      </c>
      <c r="G5" s="3">
        <v>6.9664410073906993</v>
      </c>
      <c r="H5" s="3">
        <v>63.364883189269506</v>
      </c>
      <c r="I5" s="3">
        <v>2.7725540189875555</v>
      </c>
      <c r="J5" s="3">
        <v>91.622197430675214</v>
      </c>
      <c r="K5" s="3">
        <v>1.354206545562356</v>
      </c>
      <c r="L5" s="3">
        <v>11.812299238798902</v>
      </c>
      <c r="M5" s="3">
        <v>0.24103992293309309</v>
      </c>
      <c r="N5" s="3">
        <v>0</v>
      </c>
      <c r="O5" s="3">
        <v>0</v>
      </c>
      <c r="P5" s="3">
        <v>0</v>
      </c>
      <c r="Q5" s="3">
        <v>0</v>
      </c>
    </row>
    <row r="6" spans="1:17" x14ac:dyDescent="0.55000000000000004"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1" t="s">
        <v>34</v>
      </c>
      <c r="Q6" s="1" t="s">
        <v>35</v>
      </c>
    </row>
    <row r="19" spans="2:4" x14ac:dyDescent="0.55000000000000004">
      <c r="B19" s="1"/>
      <c r="C19" s="1"/>
    </row>
    <row r="25" spans="2:4" x14ac:dyDescent="0.55000000000000004">
      <c r="B25" s="1"/>
      <c r="C25" s="1"/>
    </row>
    <row r="32" spans="2:4" x14ac:dyDescent="0.55000000000000004">
      <c r="D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Binodals Data</vt:lpstr>
      <vt:lpstr>Average and SD</vt:lpstr>
      <vt:lpstr>Plot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Malvern Whende</cp:lastModifiedBy>
  <dcterms:created xsi:type="dcterms:W3CDTF">2024-10-23T08:12:58Z</dcterms:created>
  <dcterms:modified xsi:type="dcterms:W3CDTF">2025-07-10T08:19:23Z</dcterms:modified>
</cp:coreProperties>
</file>