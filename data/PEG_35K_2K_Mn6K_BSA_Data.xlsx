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ebane/Library/CloudStorage/Dropbox/Abu Dhabi/Science/AUC/Binodals/Final/"/>
    </mc:Choice>
  </mc:AlternateContent>
  <xr:revisionPtr revIDLastSave="0" documentId="13_ncr:1_{7BA89CEF-DFAC-8D4D-AD0B-15F178FE2777}" xr6:coauthVersionLast="47" xr6:coauthVersionMax="47" xr10:uidLastSave="{00000000-0000-0000-0000-000000000000}"/>
  <bookViews>
    <workbookView xWindow="52520" yWindow="5320" windowWidth="23240" windowHeight="13160" activeTab="3" xr2:uid="{2254DE5E-D54F-4749-ACAA-1E56A2692683}"/>
  </bookViews>
  <sheets>
    <sheet name="Binodals Data" sheetId="9" r:id="rId1"/>
    <sheet name="Average and SD" sheetId="7" r:id="rId2"/>
    <sheet name="Plot Format" sheetId="8" r:id="rId3"/>
    <sheet name="Plot Format 0.7 PEG_tot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" i="10" l="1"/>
  <c r="P1" i="10"/>
  <c r="M4" i="10"/>
  <c r="M3" i="10"/>
  <c r="M2" i="10"/>
  <c r="M1" i="10"/>
  <c r="L4" i="10"/>
  <c r="L3" i="10"/>
  <c r="L2" i="10"/>
  <c r="L1" i="10"/>
  <c r="K4" i="10"/>
  <c r="K3" i="10"/>
  <c r="K2" i="10"/>
  <c r="K1" i="10"/>
  <c r="J4" i="10"/>
  <c r="J3" i="10"/>
  <c r="J2" i="10"/>
  <c r="J1" i="10"/>
  <c r="I4" i="10"/>
  <c r="I3" i="10"/>
  <c r="I2" i="10"/>
  <c r="I1" i="10"/>
  <c r="H4" i="10"/>
  <c r="H3" i="10"/>
  <c r="H2" i="10"/>
  <c r="H1" i="10"/>
  <c r="M5" i="9"/>
  <c r="M6" i="9"/>
  <c r="M7" i="9"/>
  <c r="M9" i="9"/>
  <c r="M10" i="9"/>
  <c r="M11" i="9"/>
  <c r="M12" i="9"/>
  <c r="M14" i="9"/>
  <c r="M15" i="9"/>
  <c r="M16" i="9"/>
  <c r="M17" i="9"/>
  <c r="M19" i="9"/>
  <c r="M4" i="9"/>
  <c r="G5" i="9"/>
  <c r="G6" i="9"/>
  <c r="G7" i="9"/>
  <c r="G9" i="9"/>
  <c r="G10" i="9"/>
  <c r="G11" i="9"/>
  <c r="G12" i="9"/>
  <c r="G14" i="9"/>
  <c r="G15" i="9"/>
  <c r="G16" i="9"/>
  <c r="G17" i="9"/>
  <c r="G19" i="9"/>
  <c r="F4" i="9"/>
  <c r="N5" i="9" l="1"/>
  <c r="N6" i="9"/>
  <c r="N7" i="9"/>
  <c r="N9" i="9"/>
  <c r="N10" i="9"/>
  <c r="N11" i="9"/>
  <c r="N12" i="9"/>
  <c r="N14" i="9"/>
  <c r="N15" i="9"/>
  <c r="N16" i="9"/>
  <c r="N17" i="9"/>
  <c r="N19" i="9"/>
  <c r="N4" i="9"/>
  <c r="G4" i="9"/>
  <c r="F5" i="9"/>
  <c r="F6" i="9"/>
  <c r="F7" i="9"/>
  <c r="F9" i="9"/>
  <c r="F10" i="9"/>
  <c r="F11" i="9"/>
  <c r="F12" i="9"/>
  <c r="F14" i="9"/>
  <c r="F15" i="9"/>
  <c r="F16" i="9"/>
  <c r="F17" i="9"/>
  <c r="F19" i="9"/>
</calcChain>
</file>

<file path=xl/sharedStrings.xml><?xml version="1.0" encoding="utf-8"?>
<sst xmlns="http://schemas.openxmlformats.org/spreadsheetml/2006/main" count="99" uniqueCount="54">
  <si>
    <t>Critical point</t>
  </si>
  <si>
    <t>BSA(mg/ml)</t>
  </si>
  <si>
    <t>PEG(mg/ml)</t>
  </si>
  <si>
    <t>Average</t>
  </si>
  <si>
    <t>SD</t>
  </si>
  <si>
    <t>Mix-S1</t>
  </si>
  <si>
    <t>Mix-S2</t>
  </si>
  <si>
    <t>Mix-S3</t>
  </si>
  <si>
    <t>Mix-S4</t>
  </si>
  <si>
    <t>Sup-S1</t>
  </si>
  <si>
    <t>Sup-S2</t>
  </si>
  <si>
    <t>Sup-S3</t>
  </si>
  <si>
    <t>Sup-S4</t>
  </si>
  <si>
    <t>Pellet-S1</t>
  </si>
  <si>
    <t>Pellet-S2</t>
  </si>
  <si>
    <t>Pellet-S3</t>
  </si>
  <si>
    <t>Pellet-S4</t>
  </si>
  <si>
    <t>BSA Mix</t>
  </si>
  <si>
    <t>BSA Mix STD</t>
  </si>
  <si>
    <t>BSA Sup</t>
  </si>
  <si>
    <t>BSA Sup STD</t>
  </si>
  <si>
    <t>BSA Drop</t>
  </si>
  <si>
    <t>BSA Drop STD</t>
  </si>
  <si>
    <t>PEG Mix</t>
  </si>
  <si>
    <t>PEG Mix STD</t>
  </si>
  <si>
    <t>PEG Sup</t>
  </si>
  <si>
    <t>PEG Sup STD</t>
  </si>
  <si>
    <t>PEG Drop</t>
  </si>
  <si>
    <t>PEG Drop STD</t>
  </si>
  <si>
    <t>BSA Crit</t>
  </si>
  <si>
    <t>BSA Crit STD</t>
  </si>
  <si>
    <t>PEG Crit</t>
  </si>
  <si>
    <t>PEG Crit STD</t>
  </si>
  <si>
    <t>Mixture 1</t>
  </si>
  <si>
    <t>Mixture 2</t>
  </si>
  <si>
    <t>Mixture 3</t>
  </si>
  <si>
    <t>Mixture 4</t>
  </si>
  <si>
    <t>S1-Mix</t>
  </si>
  <si>
    <t>S2-Mix</t>
  </si>
  <si>
    <t>S3-Mix</t>
  </si>
  <si>
    <t>S4-Mix</t>
  </si>
  <si>
    <t>S1-Sup</t>
  </si>
  <si>
    <t>S2-Sup</t>
  </si>
  <si>
    <t>S3-Sup</t>
  </si>
  <si>
    <t>S4-Sup</t>
  </si>
  <si>
    <t>S1-Pellet</t>
  </si>
  <si>
    <t>S2-Pellet</t>
  </si>
  <si>
    <t>S3-Pellet</t>
  </si>
  <si>
    <t>S4-Pellet</t>
  </si>
  <si>
    <t>R1</t>
  </si>
  <si>
    <t xml:space="preserve">R2 </t>
  </si>
  <si>
    <t>R3</t>
  </si>
  <si>
    <t>R2</t>
  </si>
  <si>
    <t>PEG 35K+2K, Mn=6K, pH 7, 200 mM 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</si>
</sst>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1"/>
    <xf numFmtId="0" fontId="4" fillId="0" borderId="0" xfId="1" applyFont="1"/>
    <xf numFmtId="165" fontId="0" fillId="0" borderId="0" xfId="0" applyNumberFormat="1"/>
    <xf numFmtId="165" fontId="1" fillId="0" borderId="0" xfId="0" applyNumberFormat="1" applyFont="1"/>
  </cellXfs>
  <cellStyles count="4">
    <cellStyle name="20% - Accent1 2" xfId="3" xr:uid="{2773FFE7-F328-42C0-8214-98DEB97D2242}"/>
    <cellStyle name="Accent1 2" xfId="2" xr:uid="{FBDFB4DB-8517-4C8D-A005-CB136D29DF79}"/>
    <cellStyle name="Normal" xfId="0" builtinId="0"/>
    <cellStyle name="Normal 2" xfId="1" xr:uid="{B515AD66-42C1-4D41-9F36-9FB798705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7790-30AB-465D-A29E-A81A7627F703}">
  <dimension ref="B1:N19"/>
  <sheetViews>
    <sheetView workbookViewId="0">
      <selection activeCell="M4" sqref="M4:N19"/>
    </sheetView>
  </sheetViews>
  <sheetFormatPr baseColWidth="10" defaultColWidth="8.83203125" defaultRowHeight="15" x14ac:dyDescent="0.2"/>
  <cols>
    <col min="2" max="2" width="10.6640625" customWidth="1"/>
  </cols>
  <sheetData>
    <row r="1" spans="2:14" ht="16" x14ac:dyDescent="0.2">
      <c r="B1" s="4" t="s">
        <v>53</v>
      </c>
    </row>
    <row r="2" spans="2:14" x14ac:dyDescent="0.2">
      <c r="C2" s="1" t="s">
        <v>1</v>
      </c>
      <c r="D2" s="1"/>
      <c r="E2" s="1"/>
      <c r="J2" s="1" t="s">
        <v>2</v>
      </c>
      <c r="K2" s="1"/>
      <c r="L2" s="1"/>
    </row>
    <row r="3" spans="2:14" x14ac:dyDescent="0.2">
      <c r="C3" s="1" t="s">
        <v>49</v>
      </c>
      <c r="D3" s="1" t="s">
        <v>50</v>
      </c>
      <c r="E3" s="1" t="s">
        <v>51</v>
      </c>
      <c r="F3" s="1" t="s">
        <v>3</v>
      </c>
      <c r="G3" s="1" t="s">
        <v>4</v>
      </c>
      <c r="J3" s="1" t="s">
        <v>49</v>
      </c>
      <c r="K3" s="1" t="s">
        <v>52</v>
      </c>
      <c r="L3" s="1" t="s">
        <v>51</v>
      </c>
      <c r="M3" s="1" t="s">
        <v>3</v>
      </c>
      <c r="N3" s="1" t="s">
        <v>4</v>
      </c>
    </row>
    <row r="4" spans="2:14" ht="16" x14ac:dyDescent="0.2">
      <c r="B4" s="1" t="s">
        <v>37</v>
      </c>
      <c r="C4" s="6">
        <v>181.23575814946966</v>
      </c>
      <c r="D4" s="6">
        <v>192.20019903395712</v>
      </c>
      <c r="E4" s="6">
        <v>203.48712347387075</v>
      </c>
      <c r="F4">
        <f>AVERAGE(C4:E4)</f>
        <v>192.30769355243251</v>
      </c>
      <c r="G4">
        <f>_xlfn.STDEV.P(C4:E4)</f>
        <v>9.0843998518932274</v>
      </c>
      <c r="I4" s="1" t="s">
        <v>37</v>
      </c>
      <c r="J4" s="4">
        <v>135.22208132710699</v>
      </c>
      <c r="K4" s="4">
        <v>103.99366344214732</v>
      </c>
      <c r="L4" s="4">
        <v>108.93992694115725</v>
      </c>
      <c r="M4">
        <f>AVERAGE(J4:L4)</f>
        <v>116.05189057013719</v>
      </c>
      <c r="N4">
        <f>_xlfn.STDEV.P(J4:L4)</f>
        <v>13.70495143842464</v>
      </c>
    </row>
    <row r="5" spans="2:14" ht="16" x14ac:dyDescent="0.2">
      <c r="B5" s="1" t="s">
        <v>38</v>
      </c>
      <c r="C5" s="6">
        <v>168.98138304327776</v>
      </c>
      <c r="D5" s="6">
        <v>189.2978470351222</v>
      </c>
      <c r="E5" s="6">
        <v>192.84516614480933</v>
      </c>
      <c r="F5">
        <f t="shared" ref="F5:F19" si="0">AVERAGE(C5:E5)</f>
        <v>183.7081320744031</v>
      </c>
      <c r="G5">
        <f t="shared" ref="G5:G19" si="1">_xlfn.STDEV.P(C5:E5)</f>
        <v>10.513601380618066</v>
      </c>
      <c r="I5" s="1" t="s">
        <v>38</v>
      </c>
      <c r="J5" s="4">
        <v>89.973179234137106</v>
      </c>
      <c r="K5" s="4">
        <v>90.060531835335354</v>
      </c>
      <c r="L5" s="4">
        <v>99.637323083131463</v>
      </c>
      <c r="M5">
        <f t="shared" ref="M5:M19" si="2">AVERAGE(J5:L5)</f>
        <v>93.223678050867989</v>
      </c>
      <c r="N5">
        <f t="shared" ref="N5:N19" si="3">_xlfn.STDEV.P(J5:L5)</f>
        <v>4.5352721027624217</v>
      </c>
    </row>
    <row r="6" spans="2:14" ht="16" x14ac:dyDescent="0.2">
      <c r="B6" s="1" t="s">
        <v>39</v>
      </c>
      <c r="C6" s="6">
        <v>160.27432704677295</v>
      </c>
      <c r="D6" s="6">
        <v>167.69144882157335</v>
      </c>
      <c r="E6" s="6">
        <v>170.27131726498217</v>
      </c>
      <c r="F6">
        <f t="shared" si="0"/>
        <v>166.07903104444281</v>
      </c>
      <c r="G6">
        <f t="shared" si="1"/>
        <v>4.2375206329289306</v>
      </c>
      <c r="I6" s="1" t="s">
        <v>39</v>
      </c>
      <c r="J6" s="4">
        <v>87.264673368198899</v>
      </c>
      <c r="K6" s="4">
        <v>83.985828692073682</v>
      </c>
      <c r="L6" s="4">
        <v>80.69799720782548</v>
      </c>
      <c r="M6">
        <f t="shared" si="2"/>
        <v>83.982833089366025</v>
      </c>
      <c r="N6">
        <f t="shared" si="3"/>
        <v>2.6808351533344768</v>
      </c>
    </row>
    <row r="7" spans="2:14" ht="16" x14ac:dyDescent="0.2">
      <c r="B7" s="1" t="s">
        <v>40</v>
      </c>
      <c r="C7" s="6">
        <v>147.69746838515499</v>
      </c>
      <c r="D7" s="6">
        <v>146.7300177188767</v>
      </c>
      <c r="E7" s="6">
        <v>156.08204082623365</v>
      </c>
      <c r="F7">
        <f t="shared" si="0"/>
        <v>150.16984231008846</v>
      </c>
      <c r="G7">
        <f t="shared" si="1"/>
        <v>4.1991712411421345</v>
      </c>
      <c r="I7" s="1" t="s">
        <v>40</v>
      </c>
      <c r="J7" s="4">
        <v>79.829903434075206</v>
      </c>
      <c r="K7" s="4">
        <v>76.25347126214173</v>
      </c>
      <c r="L7" s="4">
        <v>75.693470249200658</v>
      </c>
      <c r="M7">
        <f t="shared" si="2"/>
        <v>77.258948315139193</v>
      </c>
      <c r="N7">
        <f t="shared" si="3"/>
        <v>1.83225870649884</v>
      </c>
    </row>
    <row r="8" spans="2:14" x14ac:dyDescent="0.2">
      <c r="B8" s="1"/>
      <c r="I8" s="1"/>
    </row>
    <row r="9" spans="2:14" ht="16" x14ac:dyDescent="0.2">
      <c r="B9" s="1" t="s">
        <v>41</v>
      </c>
      <c r="C9" s="6">
        <v>3.2248355542610256</v>
      </c>
      <c r="D9" s="7">
        <v>7.9008471079395139</v>
      </c>
      <c r="E9" s="7">
        <v>7.7396053302264622</v>
      </c>
      <c r="F9">
        <f t="shared" si="0"/>
        <v>6.2884293308089996</v>
      </c>
      <c r="G9">
        <f t="shared" si="1"/>
        <v>2.167287836367171</v>
      </c>
      <c r="I9" s="1" t="s">
        <v>41</v>
      </c>
      <c r="J9" s="5">
        <v>211.78618216985299</v>
      </c>
      <c r="K9" s="5">
        <v>194.26669694323641</v>
      </c>
      <c r="L9" s="5">
        <v>198.63457770962611</v>
      </c>
      <c r="M9">
        <f t="shared" si="2"/>
        <v>201.56248560757183</v>
      </c>
      <c r="N9">
        <f t="shared" si="3"/>
        <v>7.4459194259025248</v>
      </c>
    </row>
    <row r="10" spans="2:14" ht="16" x14ac:dyDescent="0.2">
      <c r="B10" s="1" t="s">
        <v>42</v>
      </c>
      <c r="C10" s="6">
        <v>9.4326439962135016</v>
      </c>
      <c r="D10" s="7">
        <v>14.269897327605038</v>
      </c>
      <c r="E10" s="7">
        <v>14.431139105318092</v>
      </c>
      <c r="F10">
        <f t="shared" si="0"/>
        <v>12.71122680971221</v>
      </c>
      <c r="G10">
        <f t="shared" si="1"/>
        <v>2.3192425022618672</v>
      </c>
      <c r="I10" s="1" t="s">
        <v>42</v>
      </c>
      <c r="J10" s="5">
        <v>170.67589289861201</v>
      </c>
      <c r="K10" s="5">
        <v>166.53922404020719</v>
      </c>
      <c r="L10" s="5">
        <v>163.02697326958767</v>
      </c>
      <c r="M10">
        <f t="shared" si="2"/>
        <v>166.74736340280228</v>
      </c>
      <c r="N10">
        <f t="shared" si="3"/>
        <v>3.1261247968813359</v>
      </c>
    </row>
    <row r="11" spans="2:14" ht="16" x14ac:dyDescent="0.2">
      <c r="B11" s="1" t="s">
        <v>43</v>
      </c>
      <c r="C11" s="6">
        <v>19.75211776984878</v>
      </c>
      <c r="D11" s="7">
        <v>28.701036432923129</v>
      </c>
      <c r="E11" s="7">
        <v>27.89482754435787</v>
      </c>
      <c r="F11">
        <f t="shared" si="0"/>
        <v>25.449327249043261</v>
      </c>
      <c r="G11">
        <f t="shared" si="1"/>
        <v>4.0419582778951808</v>
      </c>
      <c r="I11" s="1" t="s">
        <v>43</v>
      </c>
      <c r="J11" s="5">
        <v>140.86916900591601</v>
      </c>
      <c r="K11" s="5">
        <v>137.2224079739577</v>
      </c>
      <c r="L11" s="5">
        <v>139.70233100963165</v>
      </c>
      <c r="M11">
        <f t="shared" si="2"/>
        <v>139.26463599650177</v>
      </c>
      <c r="N11">
        <f t="shared" si="3"/>
        <v>1.520613735621567</v>
      </c>
    </row>
    <row r="12" spans="2:14" ht="16" x14ac:dyDescent="0.2">
      <c r="B12" s="1" t="s">
        <v>44</v>
      </c>
      <c r="C12" s="6">
        <v>38.939889317701883</v>
      </c>
      <c r="D12" s="7">
        <v>58.772627976407186</v>
      </c>
      <c r="E12" s="7">
        <v>61.191254642102969</v>
      </c>
      <c r="F12">
        <f t="shared" si="0"/>
        <v>52.967923978737339</v>
      </c>
      <c r="G12">
        <f t="shared" si="1"/>
        <v>9.968341756962845</v>
      </c>
      <c r="I12" s="1" t="s">
        <v>44</v>
      </c>
      <c r="J12" s="5">
        <v>112.64401674607799</v>
      </c>
      <c r="K12" s="5">
        <v>102.44323334113244</v>
      </c>
      <c r="L12" s="5">
        <v>105.05362150667656</v>
      </c>
      <c r="M12">
        <f t="shared" si="2"/>
        <v>106.71362386462901</v>
      </c>
      <c r="N12">
        <f t="shared" si="3"/>
        <v>4.3267155664898889</v>
      </c>
    </row>
    <row r="13" spans="2:14" x14ac:dyDescent="0.2">
      <c r="B13" s="1"/>
      <c r="I13" s="1"/>
    </row>
    <row r="14" spans="2:14" ht="16" x14ac:dyDescent="0.2">
      <c r="B14" s="1" t="s">
        <v>45</v>
      </c>
      <c r="C14" s="6">
        <v>442.44743804461268</v>
      </c>
      <c r="D14" s="6">
        <v>404.39437850433268</v>
      </c>
      <c r="E14" s="6">
        <v>406.32927983688927</v>
      </c>
      <c r="F14">
        <f t="shared" si="0"/>
        <v>417.72369879527827</v>
      </c>
      <c r="G14">
        <f t="shared" si="1"/>
        <v>17.500160430569274</v>
      </c>
      <c r="I14" s="1" t="s">
        <v>45</v>
      </c>
      <c r="J14" s="4">
        <v>13.419507817778699</v>
      </c>
      <c r="K14" s="4">
        <v>16.093398298125503</v>
      </c>
      <c r="L14" s="4">
        <v>15.674610981817407</v>
      </c>
      <c r="M14">
        <f t="shared" si="2"/>
        <v>15.062505699240537</v>
      </c>
      <c r="N14">
        <f t="shared" si="3"/>
        <v>1.1742876515690122</v>
      </c>
    </row>
    <row r="15" spans="2:14" ht="16" x14ac:dyDescent="0.2">
      <c r="B15" s="1" t="s">
        <v>46</v>
      </c>
      <c r="C15" s="6">
        <v>388.27020073302748</v>
      </c>
      <c r="D15" s="6">
        <v>356.66681230126949</v>
      </c>
      <c r="E15" s="6">
        <v>363.76145052064368</v>
      </c>
      <c r="F15">
        <f t="shared" si="0"/>
        <v>369.56615451831357</v>
      </c>
      <c r="G15">
        <f t="shared" si="1"/>
        <v>13.539189573667674</v>
      </c>
      <c r="I15" s="1" t="s">
        <v>46</v>
      </c>
      <c r="J15" s="4">
        <v>13.5657133358285</v>
      </c>
      <c r="K15" s="4">
        <v>16.536651714126997</v>
      </c>
      <c r="L15" s="4">
        <v>16.335713267657905</v>
      </c>
      <c r="M15">
        <f t="shared" si="2"/>
        <v>15.479359439204467</v>
      </c>
      <c r="N15">
        <f t="shared" si="3"/>
        <v>1.3556364118110407</v>
      </c>
    </row>
    <row r="16" spans="2:14" ht="16" x14ac:dyDescent="0.2">
      <c r="B16" s="1" t="s">
        <v>47</v>
      </c>
      <c r="C16" s="6">
        <v>372.79099007257457</v>
      </c>
      <c r="D16" s="6">
        <v>350.8621083035996</v>
      </c>
      <c r="E16" s="6">
        <v>339.89766741911211</v>
      </c>
      <c r="F16">
        <f t="shared" si="0"/>
        <v>354.51692193176206</v>
      </c>
      <c r="G16">
        <f t="shared" si="1"/>
        <v>13.675060409096272</v>
      </c>
      <c r="I16" s="1" t="s">
        <v>47</v>
      </c>
      <c r="J16" s="4">
        <v>14.190354564845601</v>
      </c>
      <c r="K16" s="4">
        <v>17.308022724208492</v>
      </c>
      <c r="L16" s="4">
        <v>16.827636787373315</v>
      </c>
      <c r="M16">
        <f t="shared" si="2"/>
        <v>16.108671358809136</v>
      </c>
      <c r="N16">
        <f t="shared" si="3"/>
        <v>1.3705588041815049</v>
      </c>
    </row>
    <row r="17" spans="2:14" ht="16" x14ac:dyDescent="0.2">
      <c r="B17" s="1" t="s">
        <v>48</v>
      </c>
      <c r="C17" s="6">
        <v>316.03388431758049</v>
      </c>
      <c r="D17" s="6">
        <v>279.27075899900484</v>
      </c>
      <c r="E17" s="6">
        <v>275.4009563338916</v>
      </c>
      <c r="F17">
        <f t="shared" si="0"/>
        <v>290.23519988349227</v>
      </c>
      <c r="G17">
        <f t="shared" si="1"/>
        <v>18.310706013404236</v>
      </c>
      <c r="I17" s="1" t="s">
        <v>48</v>
      </c>
      <c r="J17" s="4">
        <v>16.3256507902843</v>
      </c>
      <c r="K17" s="4">
        <v>21.371350717750349</v>
      </c>
      <c r="L17" s="4">
        <v>20.664367963999865</v>
      </c>
      <c r="M17">
        <f t="shared" si="2"/>
        <v>19.453789824011505</v>
      </c>
      <c r="N17">
        <f t="shared" si="3"/>
        <v>2.2306794950225295</v>
      </c>
    </row>
    <row r="18" spans="2:14" x14ac:dyDescent="0.2">
      <c r="B18" s="1"/>
      <c r="I18" s="1"/>
    </row>
    <row r="19" spans="2:14" ht="16" x14ac:dyDescent="0.2">
      <c r="B19" s="1" t="s">
        <v>0</v>
      </c>
      <c r="C19" s="6">
        <v>106.74205684603997</v>
      </c>
      <c r="D19" s="6">
        <v>132.21825772470206</v>
      </c>
      <c r="E19" s="6">
        <v>137.7004781669458</v>
      </c>
      <c r="F19">
        <f t="shared" si="0"/>
        <v>125.55359757922928</v>
      </c>
      <c r="G19">
        <f t="shared" si="1"/>
        <v>13.488741819548872</v>
      </c>
      <c r="I19" s="1" t="s">
        <v>0</v>
      </c>
      <c r="J19" s="4">
        <v>63.535854650955798</v>
      </c>
      <c r="K19" s="4">
        <v>63.863922747260176</v>
      </c>
      <c r="L19" s="4">
        <v>60.569603519683575</v>
      </c>
      <c r="M19">
        <f t="shared" si="2"/>
        <v>62.656460305966512</v>
      </c>
      <c r="N19">
        <f t="shared" si="3"/>
        <v>1.4816962360291821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3E4A-E851-4C11-94BC-525FDA26358A}">
  <dimension ref="C2:H20"/>
  <sheetViews>
    <sheetView topLeftCell="A2" workbookViewId="0">
      <selection activeCell="G20" sqref="G20:H20"/>
    </sheetView>
  </sheetViews>
  <sheetFormatPr baseColWidth="10" defaultColWidth="8.83203125" defaultRowHeight="15" x14ac:dyDescent="0.2"/>
  <cols>
    <col min="3" max="3" width="11.1640625" customWidth="1"/>
  </cols>
  <sheetData>
    <row r="2" spans="3:8" ht="16" x14ac:dyDescent="0.2">
      <c r="C2" s="4" t="s">
        <v>53</v>
      </c>
    </row>
    <row r="3" spans="3:8" x14ac:dyDescent="0.2">
      <c r="D3" s="1" t="s">
        <v>1</v>
      </c>
      <c r="E3" s="1"/>
      <c r="F3" s="1"/>
      <c r="G3" s="1" t="s">
        <v>2</v>
      </c>
      <c r="H3" s="1"/>
    </row>
    <row r="4" spans="3:8" x14ac:dyDescent="0.2">
      <c r="D4" s="1" t="s">
        <v>3</v>
      </c>
      <c r="E4" s="1" t="s">
        <v>4</v>
      </c>
      <c r="F4" s="1"/>
      <c r="G4" s="1" t="s">
        <v>3</v>
      </c>
      <c r="H4" s="1" t="s">
        <v>4</v>
      </c>
    </row>
    <row r="5" spans="3:8" x14ac:dyDescent="0.2">
      <c r="C5" t="s">
        <v>5</v>
      </c>
      <c r="D5" s="1">
        <v>192.30769355243251</v>
      </c>
      <c r="E5" s="1">
        <v>9.0843998518932274</v>
      </c>
      <c r="G5">
        <v>116.05189057013719</v>
      </c>
      <c r="H5">
        <v>13.70495143842464</v>
      </c>
    </row>
    <row r="6" spans="3:8" x14ac:dyDescent="0.2">
      <c r="C6" t="s">
        <v>6</v>
      </c>
      <c r="D6" s="1">
        <v>183.7081320744031</v>
      </c>
      <c r="E6" s="1">
        <v>10.513601380618066</v>
      </c>
      <c r="G6">
        <v>93.223678050867989</v>
      </c>
      <c r="H6">
        <v>4.5352721027624217</v>
      </c>
    </row>
    <row r="7" spans="3:8" x14ac:dyDescent="0.2">
      <c r="C7" t="s">
        <v>7</v>
      </c>
      <c r="D7" s="1">
        <v>166.07903104444281</v>
      </c>
      <c r="E7" s="1">
        <v>4.2375206329289306</v>
      </c>
      <c r="G7">
        <v>83.982833089366025</v>
      </c>
      <c r="H7">
        <v>2.6808351533344768</v>
      </c>
    </row>
    <row r="8" spans="3:8" x14ac:dyDescent="0.2">
      <c r="C8" t="s">
        <v>8</v>
      </c>
      <c r="D8" s="1">
        <v>150.16984231008846</v>
      </c>
      <c r="E8" s="1">
        <v>4.1991712411421345</v>
      </c>
      <c r="G8">
        <v>77.258948315139193</v>
      </c>
      <c r="H8">
        <v>1.83225870649884</v>
      </c>
    </row>
    <row r="9" spans="3:8" x14ac:dyDescent="0.2">
      <c r="D9" s="1"/>
      <c r="E9" s="1"/>
    </row>
    <row r="10" spans="3:8" x14ac:dyDescent="0.2">
      <c r="C10" t="s">
        <v>9</v>
      </c>
      <c r="D10" s="1">
        <v>6.2884293308089996</v>
      </c>
      <c r="E10" s="1">
        <v>2.167287836367171</v>
      </c>
      <c r="G10">
        <v>201.56248560757183</v>
      </c>
      <c r="H10">
        <v>7.4459194259025248</v>
      </c>
    </row>
    <row r="11" spans="3:8" x14ac:dyDescent="0.2">
      <c r="C11" t="s">
        <v>10</v>
      </c>
      <c r="D11" s="1">
        <v>12.71122680971221</v>
      </c>
      <c r="E11" s="1">
        <v>2.3192425022618672</v>
      </c>
      <c r="G11">
        <v>166.74736340280228</v>
      </c>
      <c r="H11">
        <v>3.1261247968813359</v>
      </c>
    </row>
    <row r="12" spans="3:8" x14ac:dyDescent="0.2">
      <c r="C12" t="s">
        <v>11</v>
      </c>
      <c r="D12" s="1">
        <v>25.449327249043261</v>
      </c>
      <c r="E12" s="1">
        <v>4.0419582778951808</v>
      </c>
      <c r="G12">
        <v>139.26463599650177</v>
      </c>
      <c r="H12">
        <v>1.520613735621567</v>
      </c>
    </row>
    <row r="13" spans="3:8" x14ac:dyDescent="0.2">
      <c r="C13" t="s">
        <v>12</v>
      </c>
      <c r="D13" s="1">
        <v>52.967923978737339</v>
      </c>
      <c r="E13" s="1">
        <v>9.968341756962845</v>
      </c>
      <c r="G13">
        <v>106.71362386462901</v>
      </c>
      <c r="H13">
        <v>4.3267155664898889</v>
      </c>
    </row>
    <row r="14" spans="3:8" x14ac:dyDescent="0.2">
      <c r="D14" s="1"/>
      <c r="E14" s="1"/>
    </row>
    <row r="15" spans="3:8" x14ac:dyDescent="0.2">
      <c r="C15" t="s">
        <v>13</v>
      </c>
      <c r="D15" s="1">
        <v>417.72369879527827</v>
      </c>
      <c r="E15" s="1">
        <v>17.500160430569274</v>
      </c>
      <c r="G15">
        <v>15.062505699240537</v>
      </c>
      <c r="H15">
        <v>1.1742876515690122</v>
      </c>
    </row>
    <row r="16" spans="3:8" x14ac:dyDescent="0.2">
      <c r="C16" t="s">
        <v>14</v>
      </c>
      <c r="D16" s="1">
        <v>369.56615451831357</v>
      </c>
      <c r="E16" s="1">
        <v>13.539189573667674</v>
      </c>
      <c r="G16">
        <v>15.479359439204467</v>
      </c>
      <c r="H16">
        <v>1.3556364118110407</v>
      </c>
    </row>
    <row r="17" spans="3:8" x14ac:dyDescent="0.2">
      <c r="C17" t="s">
        <v>15</v>
      </c>
      <c r="D17" s="1">
        <v>354.51692193176206</v>
      </c>
      <c r="E17" s="1">
        <v>13.675060409096272</v>
      </c>
      <c r="G17">
        <v>16.108671358809136</v>
      </c>
      <c r="H17">
        <v>1.3705588041815049</v>
      </c>
    </row>
    <row r="18" spans="3:8" x14ac:dyDescent="0.2">
      <c r="C18" t="s">
        <v>16</v>
      </c>
      <c r="D18" s="1">
        <v>290.23519988349227</v>
      </c>
      <c r="E18" s="1">
        <v>18.310706013404236</v>
      </c>
      <c r="G18">
        <v>19.453789824011505</v>
      </c>
      <c r="H18">
        <v>2.2306794950225295</v>
      </c>
    </row>
    <row r="20" spans="3:8" x14ac:dyDescent="0.2">
      <c r="C20" s="1" t="s">
        <v>0</v>
      </c>
      <c r="D20" s="1">
        <v>125.55359757922928</v>
      </c>
      <c r="E20" s="1">
        <v>13.488741819548872</v>
      </c>
      <c r="F20" s="1"/>
      <c r="G20">
        <v>62.656460305966512</v>
      </c>
      <c r="H20">
        <v>1.4816962360291821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A20E-1ED5-914A-9D43-D66DC728A387}">
  <dimension ref="A1:Q31"/>
  <sheetViews>
    <sheetView workbookViewId="0">
      <selection activeCell="K12" sqref="K12"/>
    </sheetView>
  </sheetViews>
  <sheetFormatPr baseColWidth="10" defaultColWidth="11" defaultRowHeight="15" x14ac:dyDescent="0.2"/>
  <cols>
    <col min="2" max="2" width="11.1640625" bestFit="1" customWidth="1"/>
    <col min="3" max="5" width="11" bestFit="1" customWidth="1"/>
    <col min="6" max="6" width="11.1640625" bestFit="1" customWidth="1"/>
    <col min="7" max="7" width="11" bestFit="1" customWidth="1"/>
  </cols>
  <sheetData>
    <row r="1" spans="1:17" x14ac:dyDescent="0.2">
      <c r="A1" t="s">
        <v>33</v>
      </c>
      <c r="B1" s="3">
        <v>192.30769355243251</v>
      </c>
      <c r="C1" s="3">
        <v>9.0843998518932274</v>
      </c>
      <c r="D1" s="3">
        <v>6.2884293308089996</v>
      </c>
      <c r="E1" s="3">
        <v>2.167287836367171</v>
      </c>
      <c r="F1" s="3">
        <v>417.72369879527827</v>
      </c>
      <c r="G1" s="3">
        <v>17.500160430569274</v>
      </c>
      <c r="H1" s="3">
        <v>116.05189057013719</v>
      </c>
      <c r="I1" s="3">
        <v>13.70495143842464</v>
      </c>
      <c r="J1" s="3">
        <v>201.56248560757183</v>
      </c>
      <c r="K1" s="3">
        <v>7.4459194259025248</v>
      </c>
      <c r="L1" s="3">
        <v>15.062505699240537</v>
      </c>
      <c r="M1" s="3">
        <v>1.1742876515690122</v>
      </c>
      <c r="N1" s="2">
        <v>125.55359757922928</v>
      </c>
      <c r="O1" s="2">
        <v>13.488741819548872</v>
      </c>
      <c r="P1" s="3">
        <v>62.656460305966512</v>
      </c>
      <c r="Q1" s="3">
        <v>1.4816962360291821</v>
      </c>
    </row>
    <row r="2" spans="1:17" x14ac:dyDescent="0.2">
      <c r="A2" t="s">
        <v>34</v>
      </c>
      <c r="B2" s="3">
        <v>183.7081320744031</v>
      </c>
      <c r="C2" s="3">
        <v>10.513601380618066</v>
      </c>
      <c r="D2" s="3">
        <v>12.71122680971221</v>
      </c>
      <c r="E2" s="3">
        <v>2.3192425022618672</v>
      </c>
      <c r="F2" s="3">
        <v>369.56615451831357</v>
      </c>
      <c r="G2" s="3">
        <v>13.539189573667674</v>
      </c>
      <c r="H2" s="3">
        <v>93.223678050867989</v>
      </c>
      <c r="I2" s="3">
        <v>4.5352721027624217</v>
      </c>
      <c r="J2" s="3">
        <v>166.74736340280228</v>
      </c>
      <c r="K2" s="3">
        <v>3.1261247968813359</v>
      </c>
      <c r="L2" s="3">
        <v>15.479359439204467</v>
      </c>
      <c r="M2" s="3">
        <v>1.3556364118110407</v>
      </c>
      <c r="N2" s="3">
        <v>0</v>
      </c>
      <c r="O2" s="3">
        <v>0</v>
      </c>
      <c r="P2" s="3">
        <v>0</v>
      </c>
      <c r="Q2" s="3">
        <v>0</v>
      </c>
    </row>
    <row r="3" spans="1:17" x14ac:dyDescent="0.2">
      <c r="A3" t="s">
        <v>35</v>
      </c>
      <c r="B3" s="3">
        <v>166.07903104444281</v>
      </c>
      <c r="C3" s="3">
        <v>4.2375206329289306</v>
      </c>
      <c r="D3" s="3">
        <v>25.449327249043261</v>
      </c>
      <c r="E3" s="3">
        <v>4.0419582778951808</v>
      </c>
      <c r="F3" s="3">
        <v>354.51692193176206</v>
      </c>
      <c r="G3" s="3">
        <v>13.675060409096272</v>
      </c>
      <c r="H3" s="3">
        <v>83.982833089366025</v>
      </c>
      <c r="I3" s="3">
        <v>2.6808351533344768</v>
      </c>
      <c r="J3" s="3">
        <v>139.26463599650177</v>
      </c>
      <c r="K3" s="3">
        <v>1.520613735621567</v>
      </c>
      <c r="L3" s="3">
        <v>16.108671358809136</v>
      </c>
      <c r="M3" s="3">
        <v>1.3705588041815049</v>
      </c>
      <c r="N3" s="3">
        <v>0</v>
      </c>
      <c r="O3" s="3">
        <v>0</v>
      </c>
      <c r="P3" s="3">
        <v>0</v>
      </c>
      <c r="Q3" s="3">
        <v>0</v>
      </c>
    </row>
    <row r="4" spans="1:17" x14ac:dyDescent="0.2">
      <c r="A4" t="s">
        <v>36</v>
      </c>
      <c r="B4" s="3">
        <v>150.16984231008846</v>
      </c>
      <c r="C4" s="3">
        <v>4.1991712411421345</v>
      </c>
      <c r="D4" s="3">
        <v>52.967923978737339</v>
      </c>
      <c r="E4" s="3">
        <v>9.968341756962845</v>
      </c>
      <c r="F4" s="3">
        <v>290.23519988349227</v>
      </c>
      <c r="G4" s="3">
        <v>18.310706013404236</v>
      </c>
      <c r="H4" s="3">
        <v>77.258948315139193</v>
      </c>
      <c r="I4" s="3">
        <v>1.83225870649884</v>
      </c>
      <c r="J4" s="3">
        <v>106.71362386462901</v>
      </c>
      <c r="K4" s="3">
        <v>4.3267155664898889</v>
      </c>
      <c r="L4" s="3">
        <v>19.453789824011505</v>
      </c>
      <c r="M4" s="3">
        <v>2.2306794950225295</v>
      </c>
      <c r="N4" s="3">
        <v>0</v>
      </c>
      <c r="O4" s="3">
        <v>0</v>
      </c>
      <c r="P4" s="3">
        <v>0</v>
      </c>
      <c r="Q4" s="3">
        <v>0</v>
      </c>
    </row>
    <row r="5" spans="1:17" x14ac:dyDescent="0.2"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</row>
    <row r="18" spans="2:4" x14ac:dyDescent="0.2">
      <c r="B18" s="1"/>
      <c r="C18" s="1"/>
    </row>
    <row r="24" spans="2:4" x14ac:dyDescent="0.2">
      <c r="B24" s="1"/>
      <c r="C24" s="1"/>
    </row>
    <row r="31" spans="2:4" x14ac:dyDescent="0.2">
      <c r="D3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F4C7-890D-B443-8FB5-5DC880C699D5}">
  <dimension ref="A1:Q31"/>
  <sheetViews>
    <sheetView tabSelected="1" workbookViewId="0">
      <selection activeCell="Q2" sqref="Q2"/>
    </sheetView>
  </sheetViews>
  <sheetFormatPr baseColWidth="10" defaultColWidth="11" defaultRowHeight="15" x14ac:dyDescent="0.2"/>
  <cols>
    <col min="2" max="2" width="11.1640625" bestFit="1" customWidth="1"/>
    <col min="3" max="5" width="11" bestFit="1" customWidth="1"/>
    <col min="6" max="6" width="11.1640625" bestFit="1" customWidth="1"/>
    <col min="7" max="7" width="11" bestFit="1" customWidth="1"/>
  </cols>
  <sheetData>
    <row r="1" spans="1:17" x14ac:dyDescent="0.2">
      <c r="A1" t="s">
        <v>33</v>
      </c>
      <c r="B1" s="3">
        <v>192.30769355243251</v>
      </c>
      <c r="C1" s="3">
        <v>9.0843998518932274</v>
      </c>
      <c r="D1" s="3">
        <v>6.2884293308089996</v>
      </c>
      <c r="E1" s="3">
        <v>2.167287836367171</v>
      </c>
      <c r="F1" s="3">
        <v>417.72369879527827</v>
      </c>
      <c r="G1" s="3">
        <v>17.500160430569274</v>
      </c>
      <c r="H1" s="3">
        <f>0.7*116.051890570137</f>
        <v>81.236323399095895</v>
      </c>
      <c r="I1" s="3">
        <f>0.7*13.7049514384246</f>
        <v>9.5934660068972182</v>
      </c>
      <c r="J1" s="3">
        <f>0.7*201.562485607572</f>
        <v>141.09373992530038</v>
      </c>
      <c r="K1" s="3">
        <f>0.7*7.44591942590252</f>
        <v>5.2121435981317639</v>
      </c>
      <c r="L1" s="3">
        <f>0.7*15.0625056992405</f>
        <v>10.54375398946835</v>
      </c>
      <c r="M1" s="3">
        <f>0.7*1.17428765156901</f>
        <v>0.82200135609830693</v>
      </c>
      <c r="N1" s="2">
        <v>125.55359757922928</v>
      </c>
      <c r="O1" s="2">
        <v>13.488741819548872</v>
      </c>
      <c r="P1" s="3">
        <f>0.7*62.6564603059665</f>
        <v>43.859522214176543</v>
      </c>
      <c r="Q1" s="3">
        <f>0.7*1.48169623602918</f>
        <v>1.037187365220426</v>
      </c>
    </row>
    <row r="2" spans="1:17" x14ac:dyDescent="0.2">
      <c r="A2" t="s">
        <v>34</v>
      </c>
      <c r="B2" s="3">
        <v>183.7081320744031</v>
      </c>
      <c r="C2" s="3">
        <v>10.513601380618066</v>
      </c>
      <c r="D2" s="3">
        <v>12.71122680971221</v>
      </c>
      <c r="E2" s="3">
        <v>2.3192425022618672</v>
      </c>
      <c r="F2" s="3">
        <v>369.56615451831357</v>
      </c>
      <c r="G2" s="3">
        <v>13.539189573667674</v>
      </c>
      <c r="H2" s="3">
        <f>0.7*93.223678050868</f>
        <v>65.256574635607592</v>
      </c>
      <c r="I2" s="3">
        <f>0.7*4.53527210276242</f>
        <v>3.1746904719336939</v>
      </c>
      <c r="J2" s="3">
        <f>0.7*166.747363402802</f>
        <v>116.72315438196139</v>
      </c>
      <c r="K2" s="3">
        <f>0.7*3.12612479688134</f>
        <v>2.1882873578169377</v>
      </c>
      <c r="L2" s="3">
        <f>0.7*15.4793594392045</f>
        <v>10.835551607443151</v>
      </c>
      <c r="M2" s="3">
        <f>0.7*1.35563641181104</f>
        <v>0.94894548826772795</v>
      </c>
      <c r="N2" s="3">
        <v>0</v>
      </c>
      <c r="O2" s="3">
        <v>0</v>
      </c>
      <c r="P2" s="3">
        <v>0</v>
      </c>
      <c r="Q2" s="3">
        <v>0</v>
      </c>
    </row>
    <row r="3" spans="1:17" x14ac:dyDescent="0.2">
      <c r="A3" t="s">
        <v>35</v>
      </c>
      <c r="B3" s="3">
        <v>166.07903104444281</v>
      </c>
      <c r="C3" s="3">
        <v>4.2375206329289306</v>
      </c>
      <c r="D3" s="3">
        <v>25.449327249043261</v>
      </c>
      <c r="E3" s="3">
        <v>4.0419582778951808</v>
      </c>
      <c r="F3" s="3">
        <v>354.51692193176206</v>
      </c>
      <c r="G3" s="3">
        <v>13.675060409096272</v>
      </c>
      <c r="H3" s="3">
        <f>0.7*83.982833089366</f>
        <v>58.787983162556195</v>
      </c>
      <c r="I3" s="3">
        <f>0.7*2.68083515333448</f>
        <v>1.8765846073341357</v>
      </c>
      <c r="J3" s="3">
        <f>0.7*139.264635996502</f>
        <v>97.485245197551393</v>
      </c>
      <c r="K3" s="3">
        <f>0.7*1.52061373562157</f>
        <v>1.0644296149350989</v>
      </c>
      <c r="L3" s="3">
        <f>0.7*16.1086713588091</f>
        <v>11.27606995116637</v>
      </c>
      <c r="M3" s="3">
        <f>0.7*1.3705588041815</f>
        <v>0.95939116292704996</v>
      </c>
      <c r="N3" s="3">
        <v>0</v>
      </c>
      <c r="O3" s="3">
        <v>0</v>
      </c>
      <c r="P3" s="3">
        <v>0</v>
      </c>
      <c r="Q3" s="3">
        <v>0</v>
      </c>
    </row>
    <row r="4" spans="1:17" x14ac:dyDescent="0.2">
      <c r="A4" t="s">
        <v>36</v>
      </c>
      <c r="B4" s="3">
        <v>150.16984231008846</v>
      </c>
      <c r="C4" s="3">
        <v>4.1991712411421345</v>
      </c>
      <c r="D4" s="3">
        <v>52.967923978737339</v>
      </c>
      <c r="E4" s="3">
        <v>9.968341756962845</v>
      </c>
      <c r="F4" s="3">
        <v>290.23519988349227</v>
      </c>
      <c r="G4" s="3">
        <v>18.310706013404236</v>
      </c>
      <c r="H4" s="3">
        <f>0.7*77.2589483151392</f>
        <v>54.081263820597435</v>
      </c>
      <c r="I4" s="3">
        <f>0.7*1.83225870649884</f>
        <v>1.282581094549188</v>
      </c>
      <c r="J4" s="3">
        <f>0.7*106.713623864629</f>
        <v>74.699536705240291</v>
      </c>
      <c r="K4" s="3">
        <f>0.7*4.32671556648989</f>
        <v>3.0287008965429227</v>
      </c>
      <c r="L4" s="3">
        <f>0.7*19.4537898240115</f>
        <v>13.61765287680805</v>
      </c>
      <c r="M4" s="3">
        <f>0.7*2.23067949502253</f>
        <v>1.5614756465157709</v>
      </c>
      <c r="N4" s="3">
        <v>0</v>
      </c>
      <c r="O4" s="3">
        <v>0</v>
      </c>
      <c r="P4" s="3">
        <v>0</v>
      </c>
      <c r="Q4" s="3">
        <v>0</v>
      </c>
    </row>
    <row r="5" spans="1:17" x14ac:dyDescent="0.2"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</row>
    <row r="18" spans="2:4" x14ac:dyDescent="0.2">
      <c r="B18" s="1"/>
      <c r="C18" s="1"/>
    </row>
    <row r="24" spans="2:4" x14ac:dyDescent="0.2">
      <c r="B24" s="1"/>
      <c r="C24" s="1"/>
    </row>
    <row r="31" spans="2:4" x14ac:dyDescent="0.2">
      <c r="D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Binodals Data</vt:lpstr>
      <vt:lpstr>Average and SD</vt:lpstr>
      <vt:lpstr>Plot Format</vt:lpstr>
      <vt:lpstr>Plot Format 0.7 PEG_tot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</dc:creator>
  <cp:lastModifiedBy>Aleksander Rebane</cp:lastModifiedBy>
  <dcterms:created xsi:type="dcterms:W3CDTF">2024-10-23T08:12:58Z</dcterms:created>
  <dcterms:modified xsi:type="dcterms:W3CDTF">2025-10-06T14:38:05Z</dcterms:modified>
</cp:coreProperties>
</file>