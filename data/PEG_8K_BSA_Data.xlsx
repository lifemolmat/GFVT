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13_ncr:1_{CF3BC9BF-DAE8-794F-8686-5E356A66453D}" xr6:coauthVersionLast="47" xr6:coauthVersionMax="47" xr10:uidLastSave="{00000000-0000-0000-0000-000000000000}"/>
  <bookViews>
    <workbookView xWindow="16800" yWindow="600" windowWidth="16820" windowHeight="20400" firstSheet="2" activeTab="5" xr2:uid="{2254DE5E-D54F-4749-ACAA-1E56A2692683}"/>
  </bookViews>
  <sheets>
    <sheet name="R1-PEG Conc" sheetId="1" r:id="rId1"/>
    <sheet name="R2-PEG Conc" sheetId="4" r:id="rId2"/>
    <sheet name="R3-PEG Conc" sheetId="5" r:id="rId3"/>
    <sheet name="BSA conc (3 replicates)" sheetId="6" r:id="rId4"/>
    <sheet name="Average and SD" sheetId="7" r:id="rId5"/>
    <sheet name="New_PEG-8K pH- 7, 200 mM Sal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5" l="1"/>
  <c r="S28" i="5"/>
  <c r="S29" i="5"/>
  <c r="S30" i="5"/>
  <c r="S32" i="5"/>
  <c r="S33" i="5"/>
  <c r="S34" i="5"/>
  <c r="S35" i="5"/>
  <c r="S36" i="5"/>
  <c r="S38" i="5"/>
  <c r="S39" i="5"/>
  <c r="S40" i="5"/>
  <c r="S41" i="5"/>
  <c r="S42" i="5"/>
  <c r="S44" i="5"/>
  <c r="S26" i="5"/>
  <c r="R27" i="5"/>
  <c r="R28" i="5"/>
  <c r="R29" i="5"/>
  <c r="R30" i="5"/>
  <c r="R32" i="5"/>
  <c r="R33" i="5"/>
  <c r="R34" i="5"/>
  <c r="R35" i="5"/>
  <c r="R36" i="5"/>
  <c r="R38" i="5"/>
  <c r="R39" i="5"/>
  <c r="R40" i="5"/>
  <c r="R41" i="5"/>
  <c r="R42" i="5"/>
  <c r="R44" i="5"/>
  <c r="R26" i="5"/>
  <c r="J43" i="1"/>
  <c r="L43" i="1" s="1"/>
  <c r="M43" i="1" s="1"/>
  <c r="G43" i="1"/>
  <c r="F43" i="1"/>
  <c r="E43" i="1"/>
  <c r="J42" i="1"/>
  <c r="L42" i="1" s="1"/>
  <c r="M42" i="1" s="1"/>
  <c r="G42" i="1"/>
  <c r="F42" i="1"/>
  <c r="E42" i="1"/>
  <c r="J41" i="1"/>
  <c r="G41" i="1"/>
  <c r="F41" i="1" s="1"/>
  <c r="J41" i="4"/>
  <c r="G41" i="4"/>
  <c r="F41" i="4" s="1"/>
  <c r="J40" i="4"/>
  <c r="G40" i="4"/>
  <c r="F40" i="4" s="1"/>
  <c r="J39" i="4"/>
  <c r="G39" i="4"/>
  <c r="F39" i="4" s="1"/>
  <c r="E65" i="6"/>
  <c r="E64" i="6"/>
  <c r="E63" i="6"/>
  <c r="N53" i="6"/>
  <c r="I53" i="6"/>
  <c r="E53" i="6"/>
  <c r="N52" i="6"/>
  <c r="N54" i="6" s="1"/>
  <c r="I52" i="6"/>
  <c r="E52" i="6"/>
  <c r="N51" i="6"/>
  <c r="I51" i="6"/>
  <c r="E51" i="6"/>
  <c r="N42" i="6"/>
  <c r="I42" i="6"/>
  <c r="E42" i="6"/>
  <c r="N41" i="6"/>
  <c r="I41" i="6"/>
  <c r="E41" i="6"/>
  <c r="N40" i="6"/>
  <c r="I40" i="6"/>
  <c r="E40" i="6"/>
  <c r="N30" i="6"/>
  <c r="I30" i="6"/>
  <c r="E30" i="6"/>
  <c r="N29" i="6"/>
  <c r="I29" i="6"/>
  <c r="E29" i="6"/>
  <c r="N28" i="6"/>
  <c r="I28" i="6"/>
  <c r="E28" i="6"/>
  <c r="N19" i="6"/>
  <c r="I19" i="6"/>
  <c r="E19" i="6"/>
  <c r="N18" i="6"/>
  <c r="I18" i="6"/>
  <c r="E18" i="6"/>
  <c r="N17" i="6"/>
  <c r="I17" i="6"/>
  <c r="E17" i="6"/>
  <c r="N8" i="6"/>
  <c r="I8" i="6"/>
  <c r="E8" i="6"/>
  <c r="N7" i="6"/>
  <c r="I7" i="6"/>
  <c r="E7" i="6"/>
  <c r="N6" i="6"/>
  <c r="I6" i="6"/>
  <c r="I9" i="6" s="1"/>
  <c r="E6" i="6"/>
  <c r="J57" i="5"/>
  <c r="L57" i="5" s="1"/>
  <c r="M57" i="5" s="1"/>
  <c r="G57" i="5"/>
  <c r="F57" i="5"/>
  <c r="E57" i="5"/>
  <c r="J51" i="5"/>
  <c r="L51" i="5" s="1"/>
  <c r="M51" i="5" s="1"/>
  <c r="G51" i="5"/>
  <c r="F51" i="5"/>
  <c r="E51" i="5"/>
  <c r="J50" i="5"/>
  <c r="L50" i="5" s="1"/>
  <c r="M50" i="5" s="1"/>
  <c r="G50" i="5"/>
  <c r="F50" i="5" s="1"/>
  <c r="J49" i="5"/>
  <c r="L49" i="5" s="1"/>
  <c r="M49" i="5" s="1"/>
  <c r="G49" i="5"/>
  <c r="F49" i="5"/>
  <c r="E49" i="5"/>
  <c r="J44" i="5"/>
  <c r="L44" i="5" s="1"/>
  <c r="M44" i="5" s="1"/>
  <c r="G44" i="5"/>
  <c r="F44" i="5"/>
  <c r="E44" i="5"/>
  <c r="J43" i="5"/>
  <c r="L43" i="5" s="1"/>
  <c r="M43" i="5" s="1"/>
  <c r="G43" i="5"/>
  <c r="F43" i="5"/>
  <c r="E43" i="5"/>
  <c r="J42" i="5"/>
  <c r="G42" i="5"/>
  <c r="F42" i="5" s="1"/>
  <c r="J35" i="5"/>
  <c r="L35" i="5" s="1"/>
  <c r="M35" i="5" s="1"/>
  <c r="G35" i="5"/>
  <c r="F35" i="5"/>
  <c r="E35" i="5"/>
  <c r="J34" i="5"/>
  <c r="L34" i="5" s="1"/>
  <c r="M34" i="5" s="1"/>
  <c r="G34" i="5"/>
  <c r="F34" i="5"/>
  <c r="E34" i="5"/>
  <c r="J33" i="5"/>
  <c r="L33" i="5" s="1"/>
  <c r="M33" i="5" s="1"/>
  <c r="G33" i="5"/>
  <c r="F33" i="5"/>
  <c r="E33" i="5"/>
  <c r="J21" i="5"/>
  <c r="G21" i="5"/>
  <c r="F21" i="5" s="1"/>
  <c r="J20" i="5"/>
  <c r="L20" i="5" s="1"/>
  <c r="M20" i="5" s="1"/>
  <c r="G20" i="5"/>
  <c r="F20" i="5"/>
  <c r="E20" i="5"/>
  <c r="J19" i="5"/>
  <c r="L19" i="5" s="1"/>
  <c r="M19" i="5" s="1"/>
  <c r="G19" i="5"/>
  <c r="F19" i="5"/>
  <c r="E19" i="5"/>
  <c r="J8" i="5"/>
  <c r="L8" i="5" s="1"/>
  <c r="M8" i="5" s="1"/>
  <c r="G8" i="5"/>
  <c r="F8" i="5"/>
  <c r="E8" i="5"/>
  <c r="J7" i="5"/>
  <c r="G7" i="5"/>
  <c r="F7" i="5" s="1"/>
  <c r="J6" i="5"/>
  <c r="L6" i="5" s="1"/>
  <c r="M6" i="5" s="1"/>
  <c r="G6" i="5"/>
  <c r="F6" i="5"/>
  <c r="E6" i="5"/>
  <c r="C2" i="5"/>
  <c r="E50" i="5" s="1"/>
  <c r="J47" i="4"/>
  <c r="G47" i="4"/>
  <c r="F47" i="4" s="1"/>
  <c r="J34" i="4"/>
  <c r="G34" i="4"/>
  <c r="F34" i="4"/>
  <c r="E34" i="4"/>
  <c r="J33" i="4"/>
  <c r="G33" i="4"/>
  <c r="F33" i="4" s="1"/>
  <c r="J32" i="4"/>
  <c r="G32" i="4"/>
  <c r="F32" i="4" s="1"/>
  <c r="J27" i="4"/>
  <c r="G27" i="4"/>
  <c r="F27" i="4" s="1"/>
  <c r="J26" i="4"/>
  <c r="G26" i="4"/>
  <c r="F26" i="4"/>
  <c r="J25" i="4"/>
  <c r="G25" i="4"/>
  <c r="F25" i="4" s="1"/>
  <c r="J18" i="4"/>
  <c r="G18" i="4"/>
  <c r="F18" i="4" s="1"/>
  <c r="J17" i="4"/>
  <c r="G17" i="4"/>
  <c r="F17" i="4"/>
  <c r="E17" i="4"/>
  <c r="J16" i="4"/>
  <c r="G16" i="4"/>
  <c r="F16" i="4" s="1"/>
  <c r="J10" i="4"/>
  <c r="G10" i="4"/>
  <c r="F10" i="4"/>
  <c r="E10" i="4"/>
  <c r="J9" i="4"/>
  <c r="G9" i="4"/>
  <c r="F9" i="4" s="1"/>
  <c r="J8" i="4"/>
  <c r="G8" i="4"/>
  <c r="F8" i="4"/>
  <c r="C2" i="4"/>
  <c r="E32" i="4" s="1"/>
  <c r="J35" i="1"/>
  <c r="G35" i="1"/>
  <c r="F35" i="1" s="1"/>
  <c r="J34" i="1"/>
  <c r="G34" i="1"/>
  <c r="F34" i="1" s="1"/>
  <c r="E34" i="1"/>
  <c r="J33" i="1"/>
  <c r="G33" i="1"/>
  <c r="F33" i="1"/>
  <c r="J28" i="1"/>
  <c r="G28" i="1"/>
  <c r="F28" i="1" s="1"/>
  <c r="J27" i="1"/>
  <c r="G27" i="1"/>
  <c r="F27" i="1"/>
  <c r="J26" i="1"/>
  <c r="G26" i="1"/>
  <c r="E26" i="1" s="1"/>
  <c r="J19" i="1"/>
  <c r="G19" i="1"/>
  <c r="F19" i="1" s="1"/>
  <c r="J10" i="1"/>
  <c r="G10" i="1"/>
  <c r="F10" i="1" s="1"/>
  <c r="J49" i="1"/>
  <c r="G49" i="1"/>
  <c r="F49" i="1" s="1"/>
  <c r="J18" i="1"/>
  <c r="G18" i="1"/>
  <c r="F18" i="1" s="1"/>
  <c r="J17" i="1"/>
  <c r="G17" i="1"/>
  <c r="F17" i="1" s="1"/>
  <c r="J9" i="1"/>
  <c r="G9" i="1"/>
  <c r="F9" i="1" s="1"/>
  <c r="J8" i="1"/>
  <c r="G8" i="1"/>
  <c r="F8" i="1" s="1"/>
  <c r="C2" i="1"/>
  <c r="E27" i="1" s="1"/>
  <c r="N21" i="6" l="1"/>
  <c r="E41" i="1"/>
  <c r="L41" i="1" s="1"/>
  <c r="M41" i="1" s="1"/>
  <c r="F26" i="1"/>
  <c r="L27" i="1"/>
  <c r="M27" i="1" s="1"/>
  <c r="E33" i="1"/>
  <c r="L33" i="1" s="1"/>
  <c r="M33" i="1" s="1"/>
  <c r="L10" i="4"/>
  <c r="M10" i="4" s="1"/>
  <c r="E47" i="4"/>
  <c r="E8" i="4"/>
  <c r="L8" i="4" s="1"/>
  <c r="M8" i="4" s="1"/>
  <c r="L34" i="4"/>
  <c r="M34" i="4" s="1"/>
  <c r="E40" i="4"/>
  <c r="L40" i="4" s="1"/>
  <c r="M40" i="4" s="1"/>
  <c r="E16" i="4"/>
  <c r="L16" i="4" s="1"/>
  <c r="M16" i="4" s="1"/>
  <c r="E25" i="4"/>
  <c r="L25" i="4" s="1"/>
  <c r="M25" i="4" s="1"/>
  <c r="E27" i="4"/>
  <c r="L27" i="4" s="1"/>
  <c r="M27" i="4" s="1"/>
  <c r="E26" i="4"/>
  <c r="L26" i="4" s="1"/>
  <c r="M26" i="4" s="1"/>
  <c r="L17" i="4"/>
  <c r="M17" i="4" s="1"/>
  <c r="E33" i="4"/>
  <c r="L33" i="4" s="1"/>
  <c r="M33" i="4" s="1"/>
  <c r="E41" i="4"/>
  <c r="L41" i="4" s="1"/>
  <c r="M41" i="4" s="1"/>
  <c r="E39" i="4"/>
  <c r="L39" i="4" s="1"/>
  <c r="M39" i="4" s="1"/>
  <c r="L47" i="4"/>
  <c r="M47" i="4" s="1"/>
  <c r="E21" i="6"/>
  <c r="I21" i="6"/>
  <c r="N9" i="6"/>
  <c r="N20" i="6"/>
  <c r="I44" i="6"/>
  <c r="I10" i="6"/>
  <c r="N55" i="6"/>
  <c r="E67" i="6"/>
  <c r="I32" i="6"/>
  <c r="N32" i="6"/>
  <c r="I43" i="6"/>
  <c r="N10" i="6"/>
  <c r="N44" i="6"/>
  <c r="I54" i="6"/>
  <c r="E10" i="6"/>
  <c r="E31" i="6"/>
  <c r="E54" i="6"/>
  <c r="E66" i="6"/>
  <c r="E43" i="6"/>
  <c r="E32" i="6"/>
  <c r="E20" i="6"/>
  <c r="I31" i="6"/>
  <c r="N43" i="6"/>
  <c r="E55" i="6"/>
  <c r="E9" i="6"/>
  <c r="I20" i="6"/>
  <c r="N31" i="6"/>
  <c r="E44" i="6"/>
  <c r="I55" i="6"/>
  <c r="E7" i="5"/>
  <c r="L7" i="5" s="1"/>
  <c r="M7" i="5" s="1"/>
  <c r="E21" i="5"/>
  <c r="L21" i="5" s="1"/>
  <c r="M21" i="5" s="1"/>
  <c r="E42" i="5"/>
  <c r="L42" i="5" s="1"/>
  <c r="M42" i="5" s="1"/>
  <c r="L32" i="4"/>
  <c r="M32" i="4" s="1"/>
  <c r="E9" i="4"/>
  <c r="L9" i="4" s="1"/>
  <c r="M9" i="4" s="1"/>
  <c r="E18" i="4"/>
  <c r="L18" i="4" s="1"/>
  <c r="M18" i="4" s="1"/>
  <c r="L34" i="1"/>
  <c r="M34" i="1" s="1"/>
  <c r="E35" i="1"/>
  <c r="L35" i="1" s="1"/>
  <c r="M35" i="1" s="1"/>
  <c r="L26" i="1"/>
  <c r="M26" i="1" s="1"/>
  <c r="E28" i="1"/>
  <c r="L28" i="1" s="1"/>
  <c r="M28" i="1" s="1"/>
  <c r="E19" i="1"/>
  <c r="L19" i="1" s="1"/>
  <c r="M19" i="1" s="1"/>
  <c r="E10" i="1"/>
  <c r="L10" i="1" s="1"/>
  <c r="M10" i="1" s="1"/>
  <c r="E18" i="1"/>
  <c r="L18" i="1" s="1"/>
  <c r="M18" i="1" s="1"/>
  <c r="E8" i="1"/>
  <c r="L8" i="1" s="1"/>
  <c r="M8" i="1" s="1"/>
  <c r="E9" i="1"/>
  <c r="L9" i="1" s="1"/>
  <c r="M9" i="1" s="1"/>
  <c r="E17" i="1"/>
  <c r="L17" i="1" s="1"/>
  <c r="M17" i="1" s="1"/>
  <c r="E49" i="1"/>
  <c r="L49" i="1"/>
  <c r="M49" i="1" s="1"/>
</calcChain>
</file>

<file path=xl/sharedStrings.xml><?xml version="1.0" encoding="utf-8"?>
<sst xmlns="http://schemas.openxmlformats.org/spreadsheetml/2006/main" count="418" uniqueCount="58">
  <si>
    <t>DMF Stock (mg/mL):</t>
  </si>
  <si>
    <t>DMF MW (g/mol)</t>
  </si>
  <si>
    <t>DMF Stock (mM)</t>
  </si>
  <si>
    <t>Mol. Factor</t>
  </si>
  <si>
    <r>
      <t>Sample (</t>
    </r>
    <r>
      <rPr>
        <sz val="12"/>
        <color theme="0"/>
        <rFont val="Calibri (Body)"/>
      </rPr>
      <t>µL)</t>
    </r>
  </si>
  <si>
    <t>D2O (µL)</t>
  </si>
  <si>
    <t>DMF Stock (µL)</t>
  </si>
  <si>
    <t>DMF 1 (mM)</t>
  </si>
  <si>
    <t>Dilution (X)</t>
  </si>
  <si>
    <t>Total (µL)</t>
  </si>
  <si>
    <t>PEG Peak</t>
  </si>
  <si>
    <t>DMF Peak</t>
  </si>
  <si>
    <t>PEG Intensity</t>
  </si>
  <si>
    <t>Prior Dilution</t>
  </si>
  <si>
    <t>PEG (g/L)</t>
  </si>
  <si>
    <t>PEG (% w/v)</t>
  </si>
  <si>
    <t>Critical point</t>
  </si>
  <si>
    <t xml:space="preserve">SUPERNATANT </t>
  </si>
  <si>
    <t xml:space="preserve">PELLET </t>
  </si>
  <si>
    <t>Absorbance</t>
  </si>
  <si>
    <t>Concentration (mg/ml)</t>
  </si>
  <si>
    <t>Dilution Factor</t>
  </si>
  <si>
    <t xml:space="preserve">MIXTURE </t>
  </si>
  <si>
    <t>CP</t>
  </si>
  <si>
    <t>S1</t>
  </si>
  <si>
    <t>S2</t>
  </si>
  <si>
    <t>Mix</t>
  </si>
  <si>
    <t>Sup</t>
  </si>
  <si>
    <t>Pel</t>
  </si>
  <si>
    <t>R1</t>
  </si>
  <si>
    <t>R2</t>
  </si>
  <si>
    <t>R3</t>
  </si>
  <si>
    <t xml:space="preserve"> S1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</si>
  <si>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</si>
  <si>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</si>
  <si>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</si>
  <si>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</si>
  <si>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</si>
  <si>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</si>
  <si>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</si>
  <si>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</si>
  <si>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Mix-S5</t>
  </si>
  <si>
    <t>Sup-S1</t>
  </si>
  <si>
    <t>Sup-S2</t>
  </si>
  <si>
    <t>Sup-S3</t>
  </si>
  <si>
    <t>Sup-S4</t>
  </si>
  <si>
    <t>Sup-S5</t>
  </si>
  <si>
    <t>Pellet-S1</t>
  </si>
  <si>
    <t>Pellet-S2</t>
  </si>
  <si>
    <t>Pellet-S3</t>
  </si>
  <si>
    <t>Pellet-S4</t>
  </si>
  <si>
    <t>Pellet-S5</t>
  </si>
  <si>
    <t>Av</t>
  </si>
  <si>
    <t>S3</t>
  </si>
  <si>
    <t>S4</t>
  </si>
  <si>
    <t>S5</t>
  </si>
  <si>
    <t xml:space="preserve">PEG-8K pH-7 </t>
  </si>
  <si>
    <t xml:space="preserve">PEG-8K, 200 mM salt, pH-7.0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</si>
</sst>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(Body)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2" fillId="0" borderId="0" xfId="1"/>
    <xf numFmtId="1" fontId="2" fillId="0" borderId="0" xfId="1" applyNumberFormat="1"/>
    <xf numFmtId="0" fontId="3" fillId="4" borderId="0" xfId="1" applyFont="1" applyFill="1"/>
    <xf numFmtId="0" fontId="2" fillId="4" borderId="0" xfId="1" applyFill="1"/>
    <xf numFmtId="0" fontId="4" fillId="2" borderId="0" xfId="2"/>
    <xf numFmtId="0" fontId="0" fillId="3" borderId="0" xfId="3" applyFont="1"/>
    <xf numFmtId="0" fontId="2" fillId="3" borderId="0" xfId="3"/>
    <xf numFmtId="2" fontId="2" fillId="3" borderId="0" xfId="3" applyNumberFormat="1"/>
    <xf numFmtId="0" fontId="6" fillId="0" borderId="0" xfId="1" applyFont="1"/>
    <xf numFmtId="2" fontId="2" fillId="0" borderId="0" xfId="1" applyNumberFormat="1"/>
    <xf numFmtId="164" fontId="2" fillId="0" borderId="0" xfId="1" applyNumberFormat="1"/>
    <xf numFmtId="1" fontId="3" fillId="0" borderId="0" xfId="1" applyNumberFormat="1" applyFont="1"/>
    <xf numFmtId="165" fontId="2" fillId="0" borderId="0" xfId="1" applyNumberFormat="1"/>
    <xf numFmtId="0" fontId="1" fillId="0" borderId="0" xfId="0" applyFont="1"/>
    <xf numFmtId="0" fontId="3" fillId="0" borderId="0" xfId="1" applyFont="1"/>
    <xf numFmtId="164" fontId="0" fillId="0" borderId="0" xfId="0" applyNumberFormat="1"/>
    <xf numFmtId="164" fontId="7" fillId="0" borderId="0" xfId="0" applyNumberFormat="1" applyFon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A3D6B-09F5-4B2D-8B75-BEFB6E291D09}">
  <dimension ref="A1:O49"/>
  <sheetViews>
    <sheetView topLeftCell="A33" zoomScale="63" workbookViewId="0">
      <selection activeCell="J14" sqref="J14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5" x14ac:dyDescent="0.2">
      <c r="A3" s="1" t="s">
        <v>57</v>
      </c>
    </row>
    <row r="4" spans="1:15" x14ac:dyDescent="0.2">
      <c r="A4" s="14"/>
    </row>
    <row r="5" spans="1:15" x14ac:dyDescent="0.2">
      <c r="A5" s="14" t="s">
        <v>24</v>
      </c>
    </row>
    <row r="6" spans="1:15" x14ac:dyDescent="0.2">
      <c r="A6" s="3"/>
    </row>
    <row r="7" spans="1:15" x14ac:dyDescent="0.2">
      <c r="A7" s="5"/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</row>
    <row r="8" spans="1:15" x14ac:dyDescent="0.2">
      <c r="A8" s="6" t="s">
        <v>26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8.64</v>
      </c>
      <c r="J8" s="10">
        <f>H8*6/I8</f>
        <v>0.69444444444444442</v>
      </c>
      <c r="K8" s="11">
        <v>1</v>
      </c>
      <c r="L8" s="12">
        <f>(J8*F8)*$D$2*(E8/1000)*K8</f>
        <v>107.36382846110577</v>
      </c>
      <c r="M8" s="13">
        <f>L8/10</f>
        <v>10.736382846110576</v>
      </c>
      <c r="O8" s="1">
        <v>107.36382846110577</v>
      </c>
    </row>
    <row r="9" spans="1:15" x14ac:dyDescent="0.2">
      <c r="A9" s="6" t="s">
        <v>27</v>
      </c>
      <c r="B9" s="7">
        <v>100</v>
      </c>
      <c r="C9" s="7">
        <v>400</v>
      </c>
      <c r="D9" s="7">
        <v>100</v>
      </c>
      <c r="E9" s="8">
        <f>D9*$C$2/G9</f>
        <v>2280.2937018287953</v>
      </c>
      <c r="F9" s="7">
        <f>G9/B9</f>
        <v>6</v>
      </c>
      <c r="G9" s="7">
        <f>SUM(B9:D9)</f>
        <v>600</v>
      </c>
      <c r="H9" s="9">
        <v>1</v>
      </c>
      <c r="I9" s="1">
        <v>4.7</v>
      </c>
      <c r="J9" s="10">
        <f>H9*6/I9</f>
        <v>1.2765957446808509</v>
      </c>
      <c r="K9" s="11">
        <v>1</v>
      </c>
      <c r="L9" s="12">
        <f>(J9*F9)*$D$2*(E9/1000)*K9</f>
        <v>197.36669742637321</v>
      </c>
      <c r="M9" s="13">
        <f>L9/10</f>
        <v>19.736669742637321</v>
      </c>
      <c r="O9" s="1">
        <v>103.64508133005074</v>
      </c>
    </row>
    <row r="10" spans="1:15" x14ac:dyDescent="0.2">
      <c r="A10" s="6" t="s">
        <v>28</v>
      </c>
      <c r="B10" s="7">
        <v>100</v>
      </c>
      <c r="C10" s="7">
        <v>400</v>
      </c>
      <c r="D10" s="7">
        <v>100</v>
      </c>
      <c r="E10" s="8">
        <f>D10*$C$2/G10</f>
        <v>2280.2937018287953</v>
      </c>
      <c r="F10" s="7">
        <f>G10/B10</f>
        <v>6</v>
      </c>
      <c r="G10" s="7">
        <f>SUM(B10:D10)</f>
        <v>600</v>
      </c>
      <c r="H10" s="9">
        <v>1</v>
      </c>
      <c r="I10" s="1">
        <v>99.2</v>
      </c>
      <c r="J10" s="10">
        <f>H10*6/I10</f>
        <v>6.048387096774193E-2</v>
      </c>
      <c r="K10" s="11">
        <v>1</v>
      </c>
      <c r="L10" s="12">
        <f>(J10*F10)*$D$2*(E10/1000)*K10</f>
        <v>9.3510431240317935</v>
      </c>
      <c r="M10" s="13">
        <f>L10/10</f>
        <v>0.93510431240317937</v>
      </c>
      <c r="O10" s="1">
        <v>101.49053368752233</v>
      </c>
    </row>
    <row r="11" spans="1:15" x14ac:dyDescent="0.2">
      <c r="O11" s="1">
        <v>96.426556954672975</v>
      </c>
    </row>
    <row r="12" spans="1:15" x14ac:dyDescent="0.2">
      <c r="O12" s="1">
        <v>89.366423690168972</v>
      </c>
    </row>
    <row r="14" spans="1:15" x14ac:dyDescent="0.2">
      <c r="A14" s="14" t="s">
        <v>25</v>
      </c>
      <c r="O14" s="1">
        <v>197.36669742637321</v>
      </c>
    </row>
    <row r="15" spans="1:15" x14ac:dyDescent="0.2">
      <c r="A15" s="3"/>
      <c r="O15" s="1">
        <v>175.35415461322381</v>
      </c>
    </row>
    <row r="16" spans="1:15" x14ac:dyDescent="0.2">
      <c r="A16" s="5"/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O16" s="1">
        <v>159.93508239723349</v>
      </c>
    </row>
    <row r="17" spans="1:15" x14ac:dyDescent="0.2">
      <c r="A17" s="6" t="s">
        <v>26</v>
      </c>
      <c r="B17" s="7">
        <v>100</v>
      </c>
      <c r="C17" s="7">
        <v>400</v>
      </c>
      <c r="D17" s="7">
        <v>100</v>
      </c>
      <c r="E17" s="8">
        <f>D17*$C$2/G17</f>
        <v>2280.2937018287953</v>
      </c>
      <c r="F17" s="7">
        <f>G17/B17</f>
        <v>6</v>
      </c>
      <c r="G17" s="7">
        <f>SUM(B17:D17)</f>
        <v>600</v>
      </c>
      <c r="H17" s="9">
        <v>1</v>
      </c>
      <c r="I17" s="1">
        <v>8.9499999999999993</v>
      </c>
      <c r="J17" s="10">
        <f>H17*6/I17</f>
        <v>0.67039106145251404</v>
      </c>
      <c r="K17" s="11">
        <v>1</v>
      </c>
      <c r="L17" s="12">
        <f>(J17*F17)*$D$2*(E17/1000)*K17</f>
        <v>103.64508133005074</v>
      </c>
      <c r="M17" s="13">
        <f>L17/10</f>
        <v>10.364508133005074</v>
      </c>
      <c r="O17" s="1">
        <v>153.07318117226967</v>
      </c>
    </row>
    <row r="18" spans="1:15" x14ac:dyDescent="0.2">
      <c r="A18" s="6" t="s">
        <v>27</v>
      </c>
      <c r="B18" s="7">
        <v>100</v>
      </c>
      <c r="C18" s="7">
        <v>400</v>
      </c>
      <c r="D18" s="7">
        <v>100</v>
      </c>
      <c r="E18" s="8">
        <f>D18*$C$2/G18</f>
        <v>2280.2937018287953</v>
      </c>
      <c r="F18" s="7">
        <f>G18/B18</f>
        <v>6</v>
      </c>
      <c r="G18" s="7">
        <f>SUM(B18:D18)</f>
        <v>600</v>
      </c>
      <c r="H18" s="9">
        <v>1</v>
      </c>
      <c r="I18" s="1">
        <v>5.29</v>
      </c>
      <c r="J18" s="10">
        <f>H18*6/I18</f>
        <v>1.1342155009451795</v>
      </c>
      <c r="K18" s="11">
        <v>1</v>
      </c>
      <c r="L18" s="12">
        <f>(J18*F18)*$D$2*(E18/1000)*K18</f>
        <v>175.35415461322381</v>
      </c>
      <c r="M18" s="13">
        <f>L18/10</f>
        <v>17.53541546132238</v>
      </c>
      <c r="O18" s="1">
        <v>130.46743711729312</v>
      </c>
    </row>
    <row r="19" spans="1:15" x14ac:dyDescent="0.2">
      <c r="A19" s="6" t="s">
        <v>28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65.8</v>
      </c>
      <c r="J19" s="10">
        <f>H19*6/I19</f>
        <v>9.1185410334346503E-2</v>
      </c>
      <c r="K19" s="11">
        <v>1</v>
      </c>
      <c r="L19" s="12">
        <f>(J19*F19)*$D$2*(E19/1000)*K19</f>
        <v>14.097621244740941</v>
      </c>
      <c r="M19" s="13">
        <f>L19/10</f>
        <v>1.4097621244740941</v>
      </c>
    </row>
    <row r="20" spans="1:15" x14ac:dyDescent="0.2">
      <c r="O20" s="1">
        <v>9.3510431240317935</v>
      </c>
    </row>
    <row r="21" spans="1:15" x14ac:dyDescent="0.2">
      <c r="O21" s="1">
        <v>14.097621244740941</v>
      </c>
    </row>
    <row r="22" spans="1:15" x14ac:dyDescent="0.2">
      <c r="O22" s="1">
        <v>13.432138399999333</v>
      </c>
    </row>
    <row r="23" spans="1:15" x14ac:dyDescent="0.2">
      <c r="A23" s="14" t="s">
        <v>53</v>
      </c>
      <c r="O23" s="1">
        <v>17.226062728021432</v>
      </c>
    </row>
    <row r="24" spans="1:15" x14ac:dyDescent="0.2">
      <c r="A24" s="3"/>
      <c r="O24" s="1">
        <v>21.965983374472039</v>
      </c>
    </row>
    <row r="25" spans="1:15" x14ac:dyDescent="0.2">
      <c r="A25" s="5"/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  <c r="G25" s="5" t="s">
        <v>9</v>
      </c>
      <c r="H25" s="5" t="s">
        <v>10</v>
      </c>
      <c r="I25" s="5" t="s">
        <v>11</v>
      </c>
      <c r="J25" s="5" t="s">
        <v>12</v>
      </c>
      <c r="K25" s="5" t="s">
        <v>13</v>
      </c>
      <c r="L25" s="5" t="s">
        <v>14</v>
      </c>
      <c r="M25" s="5" t="s">
        <v>15</v>
      </c>
    </row>
    <row r="26" spans="1:15" x14ac:dyDescent="0.2">
      <c r="A26" s="6" t="s">
        <v>26</v>
      </c>
      <c r="B26" s="7">
        <v>100</v>
      </c>
      <c r="C26" s="7">
        <v>400</v>
      </c>
      <c r="D26" s="7">
        <v>100</v>
      </c>
      <c r="E26" s="8">
        <f>D26*$C$2/G26</f>
        <v>2280.2937018287953</v>
      </c>
      <c r="F26" s="7">
        <f>G26/B26</f>
        <v>6</v>
      </c>
      <c r="G26" s="7">
        <f>SUM(B26:D26)</f>
        <v>600</v>
      </c>
      <c r="H26" s="9">
        <v>1</v>
      </c>
      <c r="I26" s="1">
        <v>9.14</v>
      </c>
      <c r="J26" s="10">
        <f>H26*6/I26</f>
        <v>0.65645514223194745</v>
      </c>
      <c r="K26" s="11">
        <v>1</v>
      </c>
      <c r="L26" s="12">
        <f>(J26*F26)*$D$2*(E26/1000)*K26</f>
        <v>101.49053368752233</v>
      </c>
      <c r="M26" s="13">
        <f>L26/10</f>
        <v>10.149053368752233</v>
      </c>
      <c r="O26" s="1">
        <v>81.370480517890712</v>
      </c>
    </row>
    <row r="27" spans="1:15" x14ac:dyDescent="0.2">
      <c r="A27" s="6" t="s">
        <v>27</v>
      </c>
      <c r="B27" s="7">
        <v>100</v>
      </c>
      <c r="C27" s="7">
        <v>400</v>
      </c>
      <c r="D27" s="7">
        <v>100</v>
      </c>
      <c r="E27" s="8">
        <f>D27*$C$2/G27</f>
        <v>2280.2937018287953</v>
      </c>
      <c r="F27" s="7">
        <f>G27/B27</f>
        <v>6</v>
      </c>
      <c r="G27" s="7">
        <f>SUM(B27:D27)</f>
        <v>600</v>
      </c>
      <c r="H27" s="9">
        <v>1</v>
      </c>
      <c r="I27" s="1">
        <v>5.8</v>
      </c>
      <c r="J27" s="10">
        <f>H27*6/I27</f>
        <v>1.0344827586206897</v>
      </c>
      <c r="K27" s="11">
        <v>1</v>
      </c>
      <c r="L27" s="12">
        <f>(J27*F27)*$D$2*(E27/1000)*K27</f>
        <v>159.93508239723349</v>
      </c>
      <c r="M27" s="13">
        <f>L27/10</f>
        <v>15.993508239723349</v>
      </c>
    </row>
    <row r="28" spans="1:15" x14ac:dyDescent="0.2">
      <c r="A28" s="6" t="s">
        <v>28</v>
      </c>
      <c r="B28" s="7">
        <v>100</v>
      </c>
      <c r="C28" s="7">
        <v>400</v>
      </c>
      <c r="D28" s="7">
        <v>100</v>
      </c>
      <c r="E28" s="8">
        <f>D28*$C$2/G28</f>
        <v>2280.2937018287953</v>
      </c>
      <c r="F28" s="7">
        <f>G28/B28</f>
        <v>6</v>
      </c>
      <c r="G28" s="7">
        <f>SUM(B28:D28)</f>
        <v>600</v>
      </c>
      <c r="H28" s="9">
        <v>1</v>
      </c>
      <c r="I28" s="1">
        <v>69.06</v>
      </c>
      <c r="J28" s="10">
        <f>H28*6/I28</f>
        <v>8.6880973066898348E-2</v>
      </c>
      <c r="K28" s="11">
        <v>1</v>
      </c>
      <c r="L28" s="12">
        <f>(J28*F28)*$D$2*(E28/1000)*K28</f>
        <v>13.432138399999333</v>
      </c>
      <c r="M28" s="13">
        <f>L28/10</f>
        <v>1.3432138399999334</v>
      </c>
    </row>
    <row r="30" spans="1:15" x14ac:dyDescent="0.2">
      <c r="A30" s="14" t="s">
        <v>54</v>
      </c>
    </row>
    <row r="31" spans="1:15" x14ac:dyDescent="0.2">
      <c r="A31" s="3"/>
    </row>
    <row r="32" spans="1:15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</row>
    <row r="33" spans="1:13" x14ac:dyDescent="0.2">
      <c r="A33" s="6" t="s">
        <v>26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9.6199999999999992</v>
      </c>
      <c r="J33" s="10">
        <f>H33*6/I33</f>
        <v>0.62370062370062374</v>
      </c>
      <c r="K33" s="11">
        <v>1</v>
      </c>
      <c r="L33" s="12">
        <f>(J33*F33)*$D$2*(E33/1000)*K33</f>
        <v>96.426556954672975</v>
      </c>
      <c r="M33" s="13">
        <f>L33/10</f>
        <v>9.6426556954672975</v>
      </c>
    </row>
    <row r="34" spans="1:13" x14ac:dyDescent="0.2">
      <c r="A34" s="6" t="s">
        <v>27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6.06</v>
      </c>
      <c r="J34" s="10">
        <f>H34*6/I34</f>
        <v>0.9900990099009902</v>
      </c>
      <c r="K34" s="11">
        <v>1</v>
      </c>
      <c r="L34" s="12">
        <f>(J34*F34)*$D$2*(E34/1000)*K34</f>
        <v>153.07318117226967</v>
      </c>
      <c r="M34" s="13">
        <f>L34/10</f>
        <v>15.307318117226966</v>
      </c>
    </row>
    <row r="35" spans="1:13" x14ac:dyDescent="0.2">
      <c r="A35" s="6" t="s">
        <v>28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53.85</v>
      </c>
      <c r="J35" s="10">
        <f>H35*6/I35</f>
        <v>0.11142061281337047</v>
      </c>
      <c r="K35" s="11">
        <v>1</v>
      </c>
      <c r="L35" s="12">
        <f>(J35*F35)*$D$2*(E35/1000)*K35</f>
        <v>17.226062728021432</v>
      </c>
      <c r="M35" s="13">
        <f>L35/10</f>
        <v>1.7226062728021432</v>
      </c>
    </row>
    <row r="38" spans="1:13" x14ac:dyDescent="0.2">
      <c r="A38" s="14" t="s">
        <v>55</v>
      </c>
    </row>
    <row r="39" spans="1:13" x14ac:dyDescent="0.2">
      <c r="A39" s="3"/>
    </row>
    <row r="40" spans="1:13" x14ac:dyDescent="0.2">
      <c r="A40" s="5"/>
      <c r="B40" s="5" t="s">
        <v>4</v>
      </c>
      <c r="C40" s="5" t="s">
        <v>5</v>
      </c>
      <c r="D40" s="5" t="s">
        <v>6</v>
      </c>
      <c r="E40" s="5" t="s">
        <v>7</v>
      </c>
      <c r="F40" s="5" t="s">
        <v>8</v>
      </c>
      <c r="G40" s="5" t="s">
        <v>9</v>
      </c>
      <c r="H40" s="5" t="s">
        <v>10</v>
      </c>
      <c r="I40" s="5" t="s">
        <v>11</v>
      </c>
      <c r="J40" s="5" t="s">
        <v>12</v>
      </c>
      <c r="K40" s="5" t="s">
        <v>13</v>
      </c>
      <c r="L40" s="5" t="s">
        <v>14</v>
      </c>
      <c r="M40" s="5" t="s">
        <v>15</v>
      </c>
    </row>
    <row r="41" spans="1:13" x14ac:dyDescent="0.2">
      <c r="A41" s="6" t="s">
        <v>26</v>
      </c>
      <c r="B41" s="7">
        <v>100</v>
      </c>
      <c r="C41" s="7">
        <v>400</v>
      </c>
      <c r="D41" s="7">
        <v>100</v>
      </c>
      <c r="E41" s="8">
        <f>D41*$C$2/G41</f>
        <v>2280.2937018287953</v>
      </c>
      <c r="F41" s="7">
        <f>G41/B41</f>
        <v>6</v>
      </c>
      <c r="G41" s="7">
        <f>SUM(B41:D41)</f>
        <v>600</v>
      </c>
      <c r="H41" s="9">
        <v>1</v>
      </c>
      <c r="I41" s="1">
        <v>10.38</v>
      </c>
      <c r="J41" s="10">
        <f>H41*6/I41</f>
        <v>0.57803468208092479</v>
      </c>
      <c r="K41" s="11">
        <v>1</v>
      </c>
      <c r="L41" s="12">
        <f>(J41*F41)*$D$2*(E41/1000)*K41</f>
        <v>89.366423690168972</v>
      </c>
      <c r="M41" s="13">
        <f>L41/10</f>
        <v>8.9366423690168979</v>
      </c>
    </row>
    <row r="42" spans="1:13" x14ac:dyDescent="0.2">
      <c r="A42" s="6" t="s">
        <v>27</v>
      </c>
      <c r="B42" s="7">
        <v>100</v>
      </c>
      <c r="C42" s="7">
        <v>400</v>
      </c>
      <c r="D42" s="7">
        <v>100</v>
      </c>
      <c r="E42" s="8">
        <f>D42*$C$2/G42</f>
        <v>2280.2937018287953</v>
      </c>
      <c r="F42" s="7">
        <f>G42/B42</f>
        <v>6</v>
      </c>
      <c r="G42" s="7">
        <f>SUM(B42:D42)</f>
        <v>600</v>
      </c>
      <c r="H42" s="9">
        <v>1</v>
      </c>
      <c r="I42" s="1">
        <v>7.11</v>
      </c>
      <c r="J42" s="10">
        <f>H42*6/I42</f>
        <v>0.8438818565400843</v>
      </c>
      <c r="K42" s="11">
        <v>1</v>
      </c>
      <c r="L42" s="12">
        <f>(J42*F42)*$D$2*(E42/1000)*K42</f>
        <v>130.46743711729312</v>
      </c>
      <c r="M42" s="13">
        <f>L42/10</f>
        <v>13.046743711729311</v>
      </c>
    </row>
    <row r="43" spans="1:13" x14ac:dyDescent="0.2">
      <c r="A43" s="6" t="s">
        <v>28</v>
      </c>
      <c r="B43" s="7">
        <v>100</v>
      </c>
      <c r="C43" s="7">
        <v>400</v>
      </c>
      <c r="D43" s="7">
        <v>100</v>
      </c>
      <c r="E43" s="8">
        <f>D43*$C$2/G43</f>
        <v>2280.2937018287953</v>
      </c>
      <c r="F43" s="7">
        <f>G43/B43</f>
        <v>6</v>
      </c>
      <c r="G43" s="7">
        <f>SUM(B43:D43)</f>
        <v>600</v>
      </c>
      <c r="H43" s="9">
        <v>1</v>
      </c>
      <c r="I43" s="1">
        <v>42.23</v>
      </c>
      <c r="J43" s="10">
        <f>H43*6/I43</f>
        <v>0.14207909069381958</v>
      </c>
      <c r="K43" s="11">
        <v>1</v>
      </c>
      <c r="L43" s="12">
        <f>(J43*F43)*$D$2*(E43/1000)*K43</f>
        <v>21.965983374472039</v>
      </c>
      <c r="M43" s="13">
        <f>L43/10</f>
        <v>2.1965983374472038</v>
      </c>
    </row>
    <row r="47" spans="1:13" x14ac:dyDescent="0.2">
      <c r="A47" s="3" t="s">
        <v>16</v>
      </c>
    </row>
    <row r="48" spans="1:13" x14ac:dyDescent="0.2">
      <c r="A48" s="5"/>
      <c r="B48" s="5" t="s">
        <v>4</v>
      </c>
      <c r="C48" s="5" t="s">
        <v>5</v>
      </c>
      <c r="D48" s="5" t="s">
        <v>6</v>
      </c>
      <c r="E48" s="5" t="s">
        <v>7</v>
      </c>
      <c r="F48" s="5" t="s">
        <v>8</v>
      </c>
      <c r="G48" s="5" t="s">
        <v>9</v>
      </c>
      <c r="H48" s="5" t="s">
        <v>10</v>
      </c>
      <c r="I48" s="5" t="s">
        <v>11</v>
      </c>
      <c r="J48" s="5" t="s">
        <v>12</v>
      </c>
      <c r="K48" s="5" t="s">
        <v>13</v>
      </c>
      <c r="L48" s="5" t="s">
        <v>14</v>
      </c>
      <c r="M48" s="5" t="s">
        <v>15</v>
      </c>
    </row>
    <row r="49" spans="1:13" x14ac:dyDescent="0.2">
      <c r="A49" s="6" t="s">
        <v>56</v>
      </c>
      <c r="B49" s="7">
        <v>100</v>
      </c>
      <c r="C49" s="7">
        <v>400</v>
      </c>
      <c r="D49" s="7">
        <v>100</v>
      </c>
      <c r="E49" s="8">
        <f>D49*$C$2/G49</f>
        <v>2280.2937018287953</v>
      </c>
      <c r="F49" s="7">
        <f>G49/B49</f>
        <v>6</v>
      </c>
      <c r="G49" s="7">
        <f>SUM(B49:D49)</f>
        <v>600</v>
      </c>
      <c r="H49" s="9">
        <v>1</v>
      </c>
      <c r="I49" s="1">
        <v>11.4</v>
      </c>
      <c r="J49" s="10">
        <f>H49*6/I49</f>
        <v>0.52631578947368418</v>
      </c>
      <c r="K49" s="11">
        <v>1</v>
      </c>
      <c r="L49" s="12">
        <f>(J49*F49)*$D$2*(E49/1000)*K49</f>
        <v>81.370480517890712</v>
      </c>
      <c r="M49" s="13">
        <f>L49/10</f>
        <v>8.1370480517890709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E9E6-F09B-480A-9997-0A0733A30F85}">
  <dimension ref="A1:O47"/>
  <sheetViews>
    <sheetView topLeftCell="A14" zoomScale="63" workbookViewId="0">
      <selection activeCell="L34" sqref="L34"/>
    </sheetView>
  </sheetViews>
  <sheetFormatPr baseColWidth="10" defaultColWidth="11.33203125" defaultRowHeight="16" x14ac:dyDescent="0.2"/>
  <cols>
    <col min="1" max="1" width="19.33203125" style="1" bestFit="1" customWidth="1"/>
    <col min="2" max="2" width="16.6640625" style="1" bestFit="1" customWidth="1"/>
    <col min="3" max="3" width="15.83203125" style="1" bestFit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83203125" style="1" bestFit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5" x14ac:dyDescent="0.2">
      <c r="A3" s="1" t="s">
        <v>57</v>
      </c>
    </row>
    <row r="4" spans="1:15" x14ac:dyDescent="0.2">
      <c r="A4" s="14"/>
    </row>
    <row r="5" spans="1:15" x14ac:dyDescent="0.2">
      <c r="A5" s="14" t="s">
        <v>24</v>
      </c>
    </row>
    <row r="6" spans="1:15" x14ac:dyDescent="0.2">
      <c r="A6" s="3"/>
    </row>
    <row r="7" spans="1:15" x14ac:dyDescent="0.2">
      <c r="A7" s="5"/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5" t="s">
        <v>13</v>
      </c>
      <c r="L7" s="5" t="s">
        <v>14</v>
      </c>
      <c r="M7" s="5" t="s">
        <v>15</v>
      </c>
      <c r="O7" s="1">
        <v>111.22583667913116</v>
      </c>
    </row>
    <row r="8" spans="1:15" x14ac:dyDescent="0.2">
      <c r="A8" s="6" t="s">
        <v>26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8.34</v>
      </c>
      <c r="J8" s="10">
        <f>H8*6/I8</f>
        <v>0.71942446043165464</v>
      </c>
      <c r="K8" s="11">
        <v>1</v>
      </c>
      <c r="L8" s="12">
        <f>(J8*F8)*$D$2*(E8/1000)*K8</f>
        <v>111.22583667913116</v>
      </c>
      <c r="M8" s="13">
        <f>L8/10</f>
        <v>11.122583667913116</v>
      </c>
      <c r="O8" s="1">
        <v>100.06725759481705</v>
      </c>
    </row>
    <row r="9" spans="1:15" x14ac:dyDescent="0.2">
      <c r="A9" s="6" t="s">
        <v>27</v>
      </c>
      <c r="B9" s="7">
        <v>100</v>
      </c>
      <c r="C9" s="7">
        <v>400</v>
      </c>
      <c r="D9" s="7">
        <v>100</v>
      </c>
      <c r="E9" s="8">
        <f>D9*$C$2/G9</f>
        <v>2280.2937018287953</v>
      </c>
      <c r="F9" s="7">
        <f>G9/B9</f>
        <v>6</v>
      </c>
      <c r="G9" s="7">
        <f>SUM(B9:D9)</f>
        <v>600</v>
      </c>
      <c r="H9" s="9">
        <v>1</v>
      </c>
      <c r="I9" s="1">
        <v>4.92</v>
      </c>
      <c r="J9" s="10">
        <f>H9*6/I9</f>
        <v>1.2195121951219512</v>
      </c>
      <c r="K9" s="11">
        <v>1</v>
      </c>
      <c r="L9" s="12">
        <f>(J9*F9)*$D$2*(E9/1000)*K9</f>
        <v>188.54135729755163</v>
      </c>
      <c r="M9" s="13">
        <f>L9/10</f>
        <v>18.854135729755164</v>
      </c>
      <c r="O9" s="1">
        <v>94.366579644349329</v>
      </c>
    </row>
    <row r="10" spans="1:15" x14ac:dyDescent="0.2">
      <c r="A10" s="6" t="s">
        <v>28</v>
      </c>
      <c r="B10" s="7">
        <v>100</v>
      </c>
      <c r="C10" s="7">
        <v>400</v>
      </c>
      <c r="D10" s="7">
        <v>100</v>
      </c>
      <c r="E10" s="8">
        <f>D10*$C$2/G10</f>
        <v>2280.2937018287953</v>
      </c>
      <c r="F10" s="7">
        <f>G10/B10</f>
        <v>6</v>
      </c>
      <c r="G10" s="7">
        <f>SUM(B10:D10)</f>
        <v>600</v>
      </c>
      <c r="H10" s="9">
        <v>1</v>
      </c>
      <c r="I10" s="1">
        <v>90.68</v>
      </c>
      <c r="J10" s="10">
        <f>H10*6/I10</f>
        <v>6.6166740185266873E-2</v>
      </c>
      <c r="K10" s="11">
        <v>1</v>
      </c>
      <c r="L10" s="12">
        <f>(J10*F10)*$D$2*(E10/1000)*K10</f>
        <v>10.22963694203743</v>
      </c>
      <c r="M10" s="13">
        <f>L10/10</f>
        <v>1.022963694203743</v>
      </c>
      <c r="O10" s="1">
        <v>88.852823554018613</v>
      </c>
    </row>
    <row r="11" spans="1:15" x14ac:dyDescent="0.2">
      <c r="O11" s="1">
        <v>87.264673368198856</v>
      </c>
    </row>
    <row r="13" spans="1:15" x14ac:dyDescent="0.2">
      <c r="A13" s="14" t="s">
        <v>25</v>
      </c>
      <c r="O13" s="1">
        <v>188.54135729755163</v>
      </c>
    </row>
    <row r="14" spans="1:15" x14ac:dyDescent="0.2">
      <c r="A14" s="3"/>
      <c r="O14" s="1">
        <v>178.389130366145</v>
      </c>
    </row>
    <row r="15" spans="1:15" x14ac:dyDescent="0.2">
      <c r="A15" s="5"/>
      <c r="B15" s="5" t="s">
        <v>4</v>
      </c>
      <c r="C15" s="5" t="s">
        <v>5</v>
      </c>
      <c r="D15" s="5" t="s">
        <v>6</v>
      </c>
      <c r="E15" s="5" t="s">
        <v>7</v>
      </c>
      <c r="F15" s="5" t="s">
        <v>8</v>
      </c>
      <c r="G15" s="5" t="s">
        <v>9</v>
      </c>
      <c r="H15" s="5" t="s">
        <v>10</v>
      </c>
      <c r="I15" s="5" t="s">
        <v>11</v>
      </c>
      <c r="J15" s="5" t="s">
        <v>12</v>
      </c>
      <c r="K15" s="5" t="s">
        <v>13</v>
      </c>
      <c r="L15" s="5" t="s">
        <v>14</v>
      </c>
      <c r="M15" s="5" t="s">
        <v>15</v>
      </c>
      <c r="O15" s="1">
        <v>159.93508239723349</v>
      </c>
    </row>
    <row r="16" spans="1:15" x14ac:dyDescent="0.2">
      <c r="A16" s="6" t="s">
        <v>26</v>
      </c>
      <c r="B16" s="7">
        <v>100</v>
      </c>
      <c r="C16" s="7">
        <v>400</v>
      </c>
      <c r="D16" s="7">
        <v>100</v>
      </c>
      <c r="E16" s="8">
        <f>D16*$C$2/G16</f>
        <v>2280.2937018287953</v>
      </c>
      <c r="F16" s="7">
        <f>G16/B16</f>
        <v>6</v>
      </c>
      <c r="G16" s="7">
        <f>SUM(B16:D16)</f>
        <v>600</v>
      </c>
      <c r="H16" s="9">
        <v>1</v>
      </c>
      <c r="I16" s="1">
        <v>9.27</v>
      </c>
      <c r="J16" s="10">
        <f>H16*6/I16</f>
        <v>0.64724919093851141</v>
      </c>
      <c r="K16" s="11">
        <v>1</v>
      </c>
      <c r="L16" s="12">
        <f>(J16*F16)*$D$2*(E16/1000)*K16</f>
        <v>100.06725759481705</v>
      </c>
      <c r="M16" s="13">
        <f>L16/10</f>
        <v>10.006725759481705</v>
      </c>
      <c r="O16" s="1">
        <v>146.77586675695474</v>
      </c>
    </row>
    <row r="17" spans="1:15" x14ac:dyDescent="0.2">
      <c r="A17" s="6" t="s">
        <v>27</v>
      </c>
      <c r="B17" s="7">
        <v>100</v>
      </c>
      <c r="C17" s="7">
        <v>400</v>
      </c>
      <c r="D17" s="7">
        <v>100</v>
      </c>
      <c r="E17" s="8">
        <f>D17*$C$2/G17</f>
        <v>2280.2937018287953</v>
      </c>
      <c r="F17" s="7">
        <f>G17/B17</f>
        <v>6</v>
      </c>
      <c r="G17" s="7">
        <f>SUM(B17:D17)</f>
        <v>600</v>
      </c>
      <c r="H17" s="9">
        <v>1</v>
      </c>
      <c r="I17" s="1">
        <v>5.2</v>
      </c>
      <c r="J17" s="10">
        <f>H17*6/I17</f>
        <v>1.1538461538461537</v>
      </c>
      <c r="K17" s="11">
        <v>1</v>
      </c>
      <c r="L17" s="12">
        <f>(J17*F17)*$D$2*(E17/1000)*K17</f>
        <v>178.389130366145</v>
      </c>
      <c r="M17" s="13">
        <f>L17/10</f>
        <v>17.8389130366145</v>
      </c>
      <c r="O17" s="1">
        <v>127.07170930191153</v>
      </c>
    </row>
    <row r="18" spans="1:15" x14ac:dyDescent="0.2">
      <c r="A18" s="6" t="s">
        <v>28</v>
      </c>
      <c r="B18" s="7">
        <v>100</v>
      </c>
      <c r="C18" s="7">
        <v>400</v>
      </c>
      <c r="D18" s="7">
        <v>100</v>
      </c>
      <c r="E18" s="8">
        <f>D18*$C$2/G18</f>
        <v>2280.2937018287953</v>
      </c>
      <c r="F18" s="7">
        <f>G18/B18</f>
        <v>6</v>
      </c>
      <c r="G18" s="7">
        <f>SUM(B18:D18)</f>
        <v>600</v>
      </c>
      <c r="H18" s="9">
        <v>1</v>
      </c>
      <c r="I18" s="1">
        <v>82.36</v>
      </c>
      <c r="J18" s="10">
        <f>H18*6/I18</f>
        <v>7.285089849441477E-2</v>
      </c>
      <c r="K18" s="11">
        <v>1</v>
      </c>
      <c r="L18" s="12">
        <f>(J18*F18)*$D$2*(E18/1000)*K18</f>
        <v>11.26303397163616</v>
      </c>
      <c r="M18" s="13">
        <f>L18/10</f>
        <v>1.126303397163616</v>
      </c>
    </row>
    <row r="19" spans="1:15" x14ac:dyDescent="0.2">
      <c r="O19" s="1">
        <v>10.22963694203743</v>
      </c>
    </row>
    <row r="20" spans="1:15" x14ac:dyDescent="0.2">
      <c r="O20" s="1">
        <v>11.26303397163616</v>
      </c>
    </row>
    <row r="21" spans="1:15" x14ac:dyDescent="0.2">
      <c r="O21" s="1">
        <v>14.231719513715158</v>
      </c>
    </row>
    <row r="22" spans="1:15" x14ac:dyDescent="0.2">
      <c r="A22" s="14" t="s">
        <v>53</v>
      </c>
      <c r="O22" s="2">
        <v>20.756799999999998</v>
      </c>
    </row>
    <row r="23" spans="1:15" x14ac:dyDescent="0.2">
      <c r="A23" s="3"/>
      <c r="O23" s="1">
        <v>27.226987904430704</v>
      </c>
    </row>
    <row r="24" spans="1:15" x14ac:dyDescent="0.2">
      <c r="A24" s="5"/>
      <c r="B24" s="5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  <c r="H24" s="5" t="s">
        <v>10</v>
      </c>
      <c r="I24" s="5" t="s">
        <v>11</v>
      </c>
      <c r="J24" s="5" t="s">
        <v>12</v>
      </c>
      <c r="K24" s="5" t="s">
        <v>13</v>
      </c>
      <c r="L24" s="5" t="s">
        <v>14</v>
      </c>
      <c r="M24" s="5" t="s">
        <v>15</v>
      </c>
    </row>
    <row r="25" spans="1:15" x14ac:dyDescent="0.2">
      <c r="A25" s="6" t="s">
        <v>26</v>
      </c>
      <c r="B25" s="7">
        <v>100</v>
      </c>
      <c r="C25" s="7">
        <v>400</v>
      </c>
      <c r="D25" s="7">
        <v>100</v>
      </c>
      <c r="E25" s="8">
        <f>D25*$C$2/G25</f>
        <v>2280.2937018287953</v>
      </c>
      <c r="F25" s="7">
        <f>G25/B25</f>
        <v>6</v>
      </c>
      <c r="G25" s="7">
        <f>SUM(B25:D25)</f>
        <v>600</v>
      </c>
      <c r="H25" s="9">
        <v>1</v>
      </c>
      <c r="I25" s="1">
        <v>9.83</v>
      </c>
      <c r="J25" s="10">
        <f>H25*6/I25</f>
        <v>0.61037639877924721</v>
      </c>
      <c r="K25" s="11">
        <v>1</v>
      </c>
      <c r="L25" s="12">
        <f>(J25*F25)*$D$2*(E25/1000)*K25</f>
        <v>94.366579644349329</v>
      </c>
      <c r="M25" s="13">
        <f>L25/10</f>
        <v>9.4366579644349322</v>
      </c>
      <c r="O25" s="1">
        <v>77.62539564049824</v>
      </c>
    </row>
    <row r="26" spans="1:15" x14ac:dyDescent="0.2">
      <c r="A26" s="6" t="s">
        <v>27</v>
      </c>
      <c r="B26" s="7">
        <v>100</v>
      </c>
      <c r="C26" s="7">
        <v>400</v>
      </c>
      <c r="D26" s="7">
        <v>100</v>
      </c>
      <c r="E26" s="8">
        <f>D26*$C$2/G26</f>
        <v>2280.2937018287953</v>
      </c>
      <c r="F26" s="7">
        <f>G26/B26</f>
        <v>6</v>
      </c>
      <c r="G26" s="7">
        <f>SUM(B26:D26)</f>
        <v>600</v>
      </c>
      <c r="H26" s="9">
        <v>1</v>
      </c>
      <c r="I26" s="1">
        <v>5.8</v>
      </c>
      <c r="J26" s="10">
        <f>H26*6/I26</f>
        <v>1.0344827586206897</v>
      </c>
      <c r="K26" s="11">
        <v>1</v>
      </c>
      <c r="L26" s="12">
        <f>(J26*F26)*$D$2*(E26/1000)*K26</f>
        <v>159.93508239723349</v>
      </c>
      <c r="M26" s="13">
        <f>L26/10</f>
        <v>15.993508239723349</v>
      </c>
    </row>
    <row r="27" spans="1:15" x14ac:dyDescent="0.2">
      <c r="A27" s="6" t="s">
        <v>28</v>
      </c>
      <c r="B27" s="7">
        <v>100</v>
      </c>
      <c r="C27" s="7">
        <v>400</v>
      </c>
      <c r="D27" s="7">
        <v>100</v>
      </c>
      <c r="E27" s="8">
        <f>D27*$C$2/G27</f>
        <v>2280.2937018287953</v>
      </c>
      <c r="F27" s="7">
        <f>G27/B27</f>
        <v>6</v>
      </c>
      <c r="G27" s="7">
        <f>SUM(B27:D27)</f>
        <v>600</v>
      </c>
      <c r="H27" s="9">
        <v>1</v>
      </c>
      <c r="I27" s="1">
        <v>65.180000000000007</v>
      </c>
      <c r="J27" s="10">
        <f>H27*6/I27</f>
        <v>9.2052776925437244E-2</v>
      </c>
      <c r="K27" s="11">
        <v>1</v>
      </c>
      <c r="L27" s="12">
        <f>(J27*F27)*$D$2*(E27/1000)*K27</f>
        <v>14.231719513715158</v>
      </c>
      <c r="M27" s="13">
        <f>L27/10</f>
        <v>1.4231719513715158</v>
      </c>
    </row>
    <row r="29" spans="1:15" x14ac:dyDescent="0.2">
      <c r="A29" s="14" t="s">
        <v>54</v>
      </c>
    </row>
    <row r="30" spans="1:15" x14ac:dyDescent="0.2">
      <c r="A30" s="3"/>
    </row>
    <row r="31" spans="1:15" x14ac:dyDescent="0.2">
      <c r="A31" s="5"/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  <c r="K31" s="5" t="s">
        <v>13</v>
      </c>
      <c r="L31" s="5" t="s">
        <v>14</v>
      </c>
      <c r="M31" s="5" t="s">
        <v>15</v>
      </c>
    </row>
    <row r="32" spans="1:15" x14ac:dyDescent="0.2">
      <c r="A32" s="6" t="s">
        <v>26</v>
      </c>
      <c r="B32" s="7">
        <v>100</v>
      </c>
      <c r="C32" s="7">
        <v>400</v>
      </c>
      <c r="D32" s="7">
        <v>100</v>
      </c>
      <c r="E32" s="8">
        <f>D32*$C$2/G32</f>
        <v>2280.2937018287953</v>
      </c>
      <c r="F32" s="7">
        <f>G32/B32</f>
        <v>6</v>
      </c>
      <c r="G32" s="7">
        <f>SUM(B32:D32)</f>
        <v>600</v>
      </c>
      <c r="H32" s="9">
        <v>1</v>
      </c>
      <c r="I32" s="1">
        <v>10.44</v>
      </c>
      <c r="J32" s="10">
        <f>H32*6/I32</f>
        <v>0.57471264367816099</v>
      </c>
      <c r="K32" s="11">
        <v>1</v>
      </c>
      <c r="L32" s="12">
        <f>(J32*F32)*$D$2*(E32/1000)*K32</f>
        <v>88.852823554018613</v>
      </c>
      <c r="M32" s="13">
        <f>L32/10</f>
        <v>8.885282355401861</v>
      </c>
    </row>
    <row r="33" spans="1:13" x14ac:dyDescent="0.2">
      <c r="A33" s="6" t="s">
        <v>27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6.32</v>
      </c>
      <c r="J33" s="10">
        <f>H33*6/I33</f>
        <v>0.94936708860759489</v>
      </c>
      <c r="K33" s="11">
        <v>1</v>
      </c>
      <c r="L33" s="12">
        <f>(J33*F33)*$D$2*(E33/1000)*K33</f>
        <v>146.77586675695474</v>
      </c>
      <c r="M33" s="13">
        <f>L33/10</f>
        <v>14.677586675695474</v>
      </c>
    </row>
    <row r="34" spans="1:13" x14ac:dyDescent="0.2">
      <c r="A34" s="6" t="s">
        <v>28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52.12</v>
      </c>
      <c r="J34" s="10">
        <f>H34*6/I34</f>
        <v>0.11511895625479662</v>
      </c>
      <c r="K34" s="11">
        <v>1</v>
      </c>
      <c r="L34" s="12">
        <f>(J34*F34)*$D$2*(E34/1000)*K34</f>
        <v>17.797841095624598</v>
      </c>
      <c r="M34" s="13">
        <f>L34/10</f>
        <v>1.7797841095624598</v>
      </c>
    </row>
    <row r="36" spans="1:13" x14ac:dyDescent="0.2">
      <c r="A36" s="14" t="s">
        <v>55</v>
      </c>
    </row>
    <row r="37" spans="1:13" x14ac:dyDescent="0.2">
      <c r="A37" s="3"/>
    </row>
    <row r="38" spans="1:13" x14ac:dyDescent="0.2">
      <c r="A38" s="5"/>
      <c r="B38" s="5" t="s">
        <v>4</v>
      </c>
      <c r="C38" s="5" t="s">
        <v>5</v>
      </c>
      <c r="D38" s="5" t="s">
        <v>6</v>
      </c>
      <c r="E38" s="5" t="s">
        <v>7</v>
      </c>
      <c r="F38" s="5" t="s">
        <v>8</v>
      </c>
      <c r="G38" s="5" t="s">
        <v>9</v>
      </c>
      <c r="H38" s="5" t="s">
        <v>10</v>
      </c>
      <c r="I38" s="5" t="s">
        <v>11</v>
      </c>
      <c r="J38" s="5" t="s">
        <v>12</v>
      </c>
      <c r="K38" s="5" t="s">
        <v>13</v>
      </c>
      <c r="L38" s="5" t="s">
        <v>14</v>
      </c>
      <c r="M38" s="5" t="s">
        <v>15</v>
      </c>
    </row>
    <row r="39" spans="1:13" x14ac:dyDescent="0.2">
      <c r="A39" s="6" t="s">
        <v>26</v>
      </c>
      <c r="B39" s="7">
        <v>100</v>
      </c>
      <c r="C39" s="7">
        <v>400</v>
      </c>
      <c r="D39" s="7">
        <v>100</v>
      </c>
      <c r="E39" s="8">
        <f>D39*$C$2/G39</f>
        <v>2280.2937018287953</v>
      </c>
      <c r="F39" s="7">
        <f>G39/B39</f>
        <v>6</v>
      </c>
      <c r="G39" s="7">
        <f>SUM(B39:D39)</f>
        <v>600</v>
      </c>
      <c r="H39" s="9">
        <v>1</v>
      </c>
      <c r="I39" s="1">
        <v>10.63</v>
      </c>
      <c r="J39" s="10">
        <f>H39*6/I39</f>
        <v>0.56444026340545617</v>
      </c>
      <c r="K39" s="11">
        <v>1</v>
      </c>
      <c r="L39" s="12">
        <f>(J39*F39)*$D$2*(E39/1000)*K39</f>
        <v>87.264673368198856</v>
      </c>
      <c r="M39" s="13">
        <f>L39/10</f>
        <v>8.7264673368198853</v>
      </c>
    </row>
    <row r="40" spans="1:13" x14ac:dyDescent="0.2">
      <c r="A40" s="6" t="s">
        <v>27</v>
      </c>
      <c r="B40" s="7">
        <v>100</v>
      </c>
      <c r="C40" s="7">
        <v>400</v>
      </c>
      <c r="D40" s="7">
        <v>100</v>
      </c>
      <c r="E40" s="8">
        <f>D40*$C$2/G40</f>
        <v>2280.2937018287953</v>
      </c>
      <c r="F40" s="7">
        <f>G40/B40</f>
        <v>6</v>
      </c>
      <c r="G40" s="7">
        <f>SUM(B40:D40)</f>
        <v>600</v>
      </c>
      <c r="H40" s="9">
        <v>1</v>
      </c>
      <c r="I40" s="1">
        <v>7.3</v>
      </c>
      <c r="J40" s="10">
        <f>H40*6/I40</f>
        <v>0.82191780821917815</v>
      </c>
      <c r="K40" s="11">
        <v>1</v>
      </c>
      <c r="L40" s="12">
        <f>(J40*F40)*$D$2*(E40/1000)*K40</f>
        <v>127.07170930191153</v>
      </c>
      <c r="M40" s="13">
        <f>L40/10</f>
        <v>12.707170930191152</v>
      </c>
    </row>
    <row r="41" spans="1:13" x14ac:dyDescent="0.2">
      <c r="A41" s="6" t="s">
        <v>28</v>
      </c>
      <c r="B41" s="7">
        <v>100</v>
      </c>
      <c r="C41" s="7">
        <v>400</v>
      </c>
      <c r="D41" s="7">
        <v>100</v>
      </c>
      <c r="E41" s="8">
        <f>D41*$C$2/G41</f>
        <v>2280.2937018287953</v>
      </c>
      <c r="F41" s="7">
        <f>G41/B41</f>
        <v>6</v>
      </c>
      <c r="G41" s="7">
        <f>SUM(B41:D41)</f>
        <v>600</v>
      </c>
      <c r="H41" s="9">
        <v>1</v>
      </c>
      <c r="I41" s="1">
        <v>45.08</v>
      </c>
      <c r="J41" s="10">
        <f>H41*6/I41</f>
        <v>0.13309671694764863</v>
      </c>
      <c r="K41" s="11">
        <v>1</v>
      </c>
      <c r="L41" s="12">
        <f>(J41*F41)*$D$2*(E41/1000)*K41</f>
        <v>20.577273245429328</v>
      </c>
      <c r="M41" s="13">
        <f>L41/10</f>
        <v>2.0577273245429328</v>
      </c>
    </row>
    <row r="45" spans="1:13" x14ac:dyDescent="0.2">
      <c r="A45" s="3" t="s">
        <v>16</v>
      </c>
    </row>
    <row r="46" spans="1:13" x14ac:dyDescent="0.2">
      <c r="A46" s="5"/>
      <c r="B46" s="5" t="s">
        <v>4</v>
      </c>
      <c r="C46" s="5" t="s">
        <v>5</v>
      </c>
      <c r="D46" s="5" t="s">
        <v>6</v>
      </c>
      <c r="E46" s="5" t="s">
        <v>7</v>
      </c>
      <c r="F46" s="5" t="s">
        <v>8</v>
      </c>
      <c r="G46" s="5" t="s">
        <v>9</v>
      </c>
      <c r="H46" s="5" t="s">
        <v>10</v>
      </c>
      <c r="I46" s="5" t="s">
        <v>11</v>
      </c>
      <c r="J46" s="5" t="s">
        <v>12</v>
      </c>
      <c r="K46" s="5" t="s">
        <v>13</v>
      </c>
      <c r="L46" s="5" t="s">
        <v>14</v>
      </c>
      <c r="M46" s="5" t="s">
        <v>15</v>
      </c>
    </row>
    <row r="47" spans="1:13" x14ac:dyDescent="0.2">
      <c r="A47" s="1" t="s">
        <v>57</v>
      </c>
      <c r="B47" s="7">
        <v>100</v>
      </c>
      <c r="C47" s="7">
        <v>400</v>
      </c>
      <c r="D47" s="7">
        <v>100</v>
      </c>
      <c r="E47" s="8">
        <f>D47*$C$2/G47</f>
        <v>2280.2937018287953</v>
      </c>
      <c r="F47" s="7">
        <f>G47/B47</f>
        <v>6</v>
      </c>
      <c r="G47" s="7">
        <f>SUM(B47:D47)</f>
        <v>600</v>
      </c>
      <c r="H47" s="9">
        <v>1</v>
      </c>
      <c r="I47" s="1">
        <v>11.95</v>
      </c>
      <c r="J47" s="10">
        <f>H47*6/I47</f>
        <v>0.502092050209205</v>
      </c>
      <c r="K47" s="11">
        <v>1</v>
      </c>
      <c r="L47" s="12">
        <f>(J47*F47)*$D$2*(E47/1000)*K47</f>
        <v>77.62539564049824</v>
      </c>
      <c r="M47" s="13">
        <f>L47/10</f>
        <v>7.762539564049824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0FCD-DD6C-4C3C-A014-2E5D86BFF136}">
  <dimension ref="A1:S57"/>
  <sheetViews>
    <sheetView zoomScale="63" workbookViewId="0">
      <selection activeCell="Q50" sqref="Q50"/>
    </sheetView>
  </sheetViews>
  <sheetFormatPr baseColWidth="10" defaultColWidth="11.33203125" defaultRowHeight="16" x14ac:dyDescent="0.2"/>
  <cols>
    <col min="1" max="1" width="19.33203125" style="1" bestFit="1" customWidth="1"/>
    <col min="2" max="2" width="15.33203125" style="1" customWidth="1"/>
    <col min="3" max="3" width="15.1640625" style="1" customWidth="1"/>
    <col min="4" max="4" width="14.1640625" style="1" bestFit="1" customWidth="1"/>
    <col min="5" max="5" width="13.1640625" style="1" customWidth="1"/>
    <col min="6" max="6" width="10.83203125" style="1" bestFit="1" customWidth="1"/>
    <col min="7" max="8" width="9.33203125" style="1" bestFit="1" customWidth="1"/>
    <col min="9" max="9" width="9.33203125" style="1" customWidth="1"/>
    <col min="10" max="10" width="12.6640625" style="1" bestFit="1" customWidth="1"/>
    <col min="11" max="11" width="12.5" style="1" bestFit="1" customWidth="1"/>
    <col min="12" max="12" width="10.6640625" style="1" customWidth="1"/>
    <col min="13" max="13" width="12.83203125" style="1" bestFit="1" customWidth="1"/>
    <col min="14" max="16384" width="11.33203125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">
      <c r="A2" s="1">
        <v>1000</v>
      </c>
      <c r="B2" s="1">
        <v>73.09</v>
      </c>
      <c r="C2" s="2">
        <f>1000*A2/B2</f>
        <v>13681.762210972773</v>
      </c>
      <c r="D2" s="1">
        <v>11.3</v>
      </c>
    </row>
    <row r="3" spans="1:13" x14ac:dyDescent="0.2">
      <c r="A3" s="1" t="s">
        <v>57</v>
      </c>
    </row>
    <row r="4" spans="1:13" x14ac:dyDescent="0.2">
      <c r="A4" s="14" t="s">
        <v>24</v>
      </c>
      <c r="B4" s="4"/>
    </row>
    <row r="5" spans="1:13" x14ac:dyDescent="0.2">
      <c r="A5" s="5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spans="1:13" x14ac:dyDescent="0.2">
      <c r="A6" s="6" t="s">
        <v>26</v>
      </c>
      <c r="B6" s="7">
        <v>100</v>
      </c>
      <c r="C6" s="7">
        <v>400</v>
      </c>
      <c r="D6" s="7">
        <v>100</v>
      </c>
      <c r="E6" s="8">
        <f>D6*$C$2/G6</f>
        <v>2280.2937018287953</v>
      </c>
      <c r="F6" s="7">
        <f>G6/B6</f>
        <v>6</v>
      </c>
      <c r="G6" s="7">
        <f>SUM(B6:D6)</f>
        <v>600</v>
      </c>
      <c r="H6" s="9">
        <v>1</v>
      </c>
      <c r="I6" s="1">
        <v>8.43</v>
      </c>
      <c r="J6" s="10">
        <f>H6*6/I6</f>
        <v>0.71174377224199292</v>
      </c>
      <c r="K6" s="11">
        <v>1</v>
      </c>
      <c r="L6" s="12">
        <f>(J6*F6)*$D$2*(E6/1000)*K6</f>
        <v>110.03837223059955</v>
      </c>
      <c r="M6" s="13">
        <f>L6/10</f>
        <v>11.003837223059955</v>
      </c>
    </row>
    <row r="7" spans="1:13" x14ac:dyDescent="0.2">
      <c r="A7" s="6" t="s">
        <v>27</v>
      </c>
      <c r="B7" s="7">
        <v>100</v>
      </c>
      <c r="C7" s="7">
        <v>400</v>
      </c>
      <c r="D7" s="7">
        <v>100</v>
      </c>
      <c r="E7" s="8">
        <f>D7*$C$2/G7</f>
        <v>2280.2937018287953</v>
      </c>
      <c r="F7" s="7">
        <f>G7/B7</f>
        <v>6</v>
      </c>
      <c r="G7" s="7">
        <f>SUM(B7:D7)</f>
        <v>600</v>
      </c>
      <c r="H7" s="9">
        <v>1</v>
      </c>
      <c r="I7" s="1">
        <v>4.8499999999999996</v>
      </c>
      <c r="J7" s="10">
        <f>H7*6/I7</f>
        <v>1.2371134020618557</v>
      </c>
      <c r="K7" s="11">
        <v>1</v>
      </c>
      <c r="L7" s="12">
        <f>(J7*F7)*$D$2*(E7/1000)*K7</f>
        <v>191.26257276370188</v>
      </c>
      <c r="M7" s="13">
        <f>L7/10</f>
        <v>19.12625727637019</v>
      </c>
    </row>
    <row r="8" spans="1:13" x14ac:dyDescent="0.2">
      <c r="A8" s="6" t="s">
        <v>28</v>
      </c>
      <c r="B8" s="7">
        <v>100</v>
      </c>
      <c r="C8" s="7">
        <v>400</v>
      </c>
      <c r="D8" s="7">
        <v>100</v>
      </c>
      <c r="E8" s="8">
        <f>D8*$C$2/G8</f>
        <v>2280.2937018287953</v>
      </c>
      <c r="F8" s="7">
        <f>G8/B8</f>
        <v>6</v>
      </c>
      <c r="G8" s="7">
        <f>SUM(B8:D8)</f>
        <v>600</v>
      </c>
      <c r="H8" s="9">
        <v>1</v>
      </c>
      <c r="I8" s="1">
        <v>109.42</v>
      </c>
      <c r="J8" s="10">
        <f>H8*6/I8</f>
        <v>5.4834582343264486E-2</v>
      </c>
      <c r="K8" s="11">
        <v>1</v>
      </c>
      <c r="L8" s="12">
        <f>(J8*F8)*$D$2*(E8/1000)*K8</f>
        <v>8.4776409971116244</v>
      </c>
      <c r="M8" s="13">
        <f>L8/10</f>
        <v>0.8477640997111624</v>
      </c>
    </row>
    <row r="9" spans="1:13" x14ac:dyDescent="0.2">
      <c r="I9" s="15"/>
    </row>
    <row r="16" spans="1:13" x14ac:dyDescent="0.2">
      <c r="A16" s="14" t="s">
        <v>25</v>
      </c>
    </row>
    <row r="17" spans="1:19" x14ac:dyDescent="0.2">
      <c r="A17" s="3"/>
    </row>
    <row r="18" spans="1:19" x14ac:dyDescent="0.2">
      <c r="A18" s="5"/>
      <c r="B18" s="5" t="s">
        <v>4</v>
      </c>
      <c r="C18" s="5" t="s">
        <v>5</v>
      </c>
      <c r="D18" s="5" t="s">
        <v>6</v>
      </c>
      <c r="E18" s="5" t="s">
        <v>7</v>
      </c>
      <c r="F18" s="5" t="s">
        <v>8</v>
      </c>
      <c r="G18" s="5" t="s">
        <v>9</v>
      </c>
      <c r="H18" s="5" t="s">
        <v>10</v>
      </c>
      <c r="I18" s="5" t="s">
        <v>11</v>
      </c>
      <c r="J18" s="5" t="s">
        <v>12</v>
      </c>
      <c r="K18" s="5" t="s">
        <v>13</v>
      </c>
      <c r="L18" s="5" t="s">
        <v>14</v>
      </c>
      <c r="M18" s="5" t="s">
        <v>15</v>
      </c>
    </row>
    <row r="19" spans="1:19" x14ac:dyDescent="0.2">
      <c r="A19" s="6" t="s">
        <v>26</v>
      </c>
      <c r="B19" s="7">
        <v>100</v>
      </c>
      <c r="C19" s="7">
        <v>400</v>
      </c>
      <c r="D19" s="7">
        <v>100</v>
      </c>
      <c r="E19" s="8">
        <f>D19*$C$2/G19</f>
        <v>2280.2937018287953</v>
      </c>
      <c r="F19" s="7">
        <f>G19/B19</f>
        <v>6</v>
      </c>
      <c r="G19" s="7">
        <f>SUM(B19:D19)</f>
        <v>600</v>
      </c>
      <c r="H19" s="9">
        <v>1</v>
      </c>
      <c r="I19" s="1">
        <v>9.0399999999999991</v>
      </c>
      <c r="J19" s="10">
        <f>H19*6/I19</f>
        <v>0.66371681415929207</v>
      </c>
      <c r="K19" s="11">
        <v>1</v>
      </c>
      <c r="L19" s="12">
        <f>(J19*F19)*$D$2*(E19/1000)*K19</f>
        <v>102.61321658229581</v>
      </c>
      <c r="M19" s="13">
        <f>L19/10</f>
        <v>10.26132165822958</v>
      </c>
    </row>
    <row r="20" spans="1:19" x14ac:dyDescent="0.2">
      <c r="A20" s="6" t="s">
        <v>27</v>
      </c>
      <c r="B20" s="7">
        <v>100</v>
      </c>
      <c r="C20" s="7">
        <v>400</v>
      </c>
      <c r="D20" s="7">
        <v>100</v>
      </c>
      <c r="E20" s="8">
        <f>D20*$C$2/G20</f>
        <v>2280.2937018287953</v>
      </c>
      <c r="F20" s="7">
        <f>G20/B20</f>
        <v>6</v>
      </c>
      <c r="G20" s="7">
        <f>SUM(B20:D20)</f>
        <v>600</v>
      </c>
      <c r="H20" s="9">
        <v>1</v>
      </c>
      <c r="I20" s="1">
        <v>5.2</v>
      </c>
      <c r="J20" s="10">
        <f>H20*6/I20</f>
        <v>1.1538461538461537</v>
      </c>
      <c r="K20" s="11">
        <v>1</v>
      </c>
      <c r="L20" s="12">
        <f>(J20*F20)*$D$2*(E20/1000)*K20</f>
        <v>178.389130366145</v>
      </c>
      <c r="M20" s="13">
        <f>L20/10</f>
        <v>17.8389130366145</v>
      </c>
    </row>
    <row r="21" spans="1:19" x14ac:dyDescent="0.2">
      <c r="A21" s="6" t="s">
        <v>28</v>
      </c>
      <c r="B21" s="7">
        <v>100</v>
      </c>
      <c r="C21" s="7">
        <v>400</v>
      </c>
      <c r="D21" s="7">
        <v>100</v>
      </c>
      <c r="E21" s="8">
        <f>D21*$C$2/G21</f>
        <v>2280.2937018287953</v>
      </c>
      <c r="F21" s="7">
        <f>G21/B21</f>
        <v>6</v>
      </c>
      <c r="G21" s="7">
        <f>SUM(B21:D21)</f>
        <v>600</v>
      </c>
      <c r="H21" s="9">
        <v>1</v>
      </c>
      <c r="I21" s="1">
        <v>75.3</v>
      </c>
      <c r="J21" s="10">
        <f>H21*6/I21</f>
        <v>7.9681274900398405E-2</v>
      </c>
      <c r="K21" s="11">
        <v>1</v>
      </c>
      <c r="L21" s="12">
        <f>(J21*F21)*$D$2*(E21/1000)*K21</f>
        <v>12.319036891154768</v>
      </c>
      <c r="M21" s="13">
        <f>L21/10</f>
        <v>1.2319036891154769</v>
      </c>
    </row>
    <row r="25" spans="1:19" x14ac:dyDescent="0.2">
      <c r="O25" s="1" t="s">
        <v>29</v>
      </c>
      <c r="P25" s="1" t="s">
        <v>30</v>
      </c>
      <c r="Q25" s="1" t="s">
        <v>31</v>
      </c>
      <c r="R25" s="1" t="s">
        <v>52</v>
      </c>
      <c r="S25" s="1" t="s">
        <v>36</v>
      </c>
    </row>
    <row r="26" spans="1:19" x14ac:dyDescent="0.2">
      <c r="N26" s="1" t="s">
        <v>26</v>
      </c>
      <c r="O26" s="1">
        <v>107.36382846110577</v>
      </c>
      <c r="P26" s="1">
        <v>111.22583667913116</v>
      </c>
      <c r="Q26" s="1">
        <v>110.03837223059955</v>
      </c>
      <c r="R26" s="1">
        <f>AVERAGE(O26:Q26)</f>
        <v>109.54267912361217</v>
      </c>
      <c r="S26" s="1">
        <f>STDEV(O26:Q26)</f>
        <v>1.9781457507625746</v>
      </c>
    </row>
    <row r="27" spans="1:19" x14ac:dyDescent="0.2">
      <c r="O27" s="1">
        <v>103.64508133005074</v>
      </c>
      <c r="P27" s="1">
        <v>100.06725759481705</v>
      </c>
      <c r="Q27" s="1">
        <v>102.61321658229581</v>
      </c>
      <c r="R27" s="1">
        <f t="shared" ref="R27:R44" si="0">AVERAGE(O27:Q27)</f>
        <v>102.10851850238787</v>
      </c>
      <c r="S27" s="1">
        <f t="shared" ref="S27:S44" si="1">STDEV(O27:Q27)</f>
        <v>1.8415335413718275</v>
      </c>
    </row>
    <row r="28" spans="1:19" x14ac:dyDescent="0.2">
      <c r="O28" s="1">
        <v>101.49053368752233</v>
      </c>
      <c r="P28" s="1">
        <v>94.366579644349329</v>
      </c>
      <c r="Q28" s="1">
        <v>93.889015982181562</v>
      </c>
      <c r="R28" s="1">
        <f t="shared" si="0"/>
        <v>96.582043104684416</v>
      </c>
      <c r="S28" s="1">
        <f t="shared" si="1"/>
        <v>4.2575787267192373</v>
      </c>
    </row>
    <row r="29" spans="1:19" x14ac:dyDescent="0.2">
      <c r="O29" s="1">
        <v>96.426556954672975</v>
      </c>
      <c r="P29" s="1">
        <v>88.852823554018613</v>
      </c>
      <c r="Q29" s="1">
        <v>90.235746877816538</v>
      </c>
      <c r="R29" s="1">
        <f t="shared" si="0"/>
        <v>91.838375795502714</v>
      </c>
      <c r="S29" s="1">
        <f t="shared" si="1"/>
        <v>4.0331964980521136</v>
      </c>
    </row>
    <row r="30" spans="1:19" x14ac:dyDescent="0.2">
      <c r="A30" s="14" t="s">
        <v>53</v>
      </c>
      <c r="O30" s="1">
        <v>89.366423690168972</v>
      </c>
      <c r="P30" s="1">
        <v>87.264673368198856</v>
      </c>
      <c r="Q30" s="1">
        <v>84.100043327647683</v>
      </c>
      <c r="R30" s="1">
        <f t="shared" si="0"/>
        <v>86.910380128671832</v>
      </c>
      <c r="S30" s="1">
        <f t="shared" si="1"/>
        <v>2.6510060930462567</v>
      </c>
    </row>
    <row r="31" spans="1:19" x14ac:dyDescent="0.2">
      <c r="A31" s="3"/>
    </row>
    <row r="32" spans="1:19" x14ac:dyDescent="0.2">
      <c r="A32" s="5"/>
      <c r="B32" s="5" t="s">
        <v>4</v>
      </c>
      <c r="C32" s="5" t="s">
        <v>5</v>
      </c>
      <c r="D32" s="5" t="s">
        <v>6</v>
      </c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14</v>
      </c>
      <c r="M32" s="5" t="s">
        <v>15</v>
      </c>
      <c r="N32" s="1" t="s">
        <v>27</v>
      </c>
      <c r="O32" s="1">
        <v>197.36669742637321</v>
      </c>
      <c r="P32" s="1">
        <v>188.54135729755163</v>
      </c>
      <c r="Q32" s="1">
        <v>191.26257276370188</v>
      </c>
      <c r="R32" s="1">
        <f t="shared" si="0"/>
        <v>192.39020916254222</v>
      </c>
      <c r="S32" s="1">
        <f t="shared" si="1"/>
        <v>4.5194391226499953</v>
      </c>
    </row>
    <row r="33" spans="1:19" x14ac:dyDescent="0.2">
      <c r="A33" s="6" t="s">
        <v>26</v>
      </c>
      <c r="B33" s="7">
        <v>100</v>
      </c>
      <c r="C33" s="7">
        <v>400</v>
      </c>
      <c r="D33" s="7">
        <v>100</v>
      </c>
      <c r="E33" s="8">
        <f>D33*$C$2/G33</f>
        <v>2280.2937018287953</v>
      </c>
      <c r="F33" s="7">
        <f>G33/B33</f>
        <v>6</v>
      </c>
      <c r="G33" s="7">
        <f>SUM(B33:D33)</f>
        <v>600</v>
      </c>
      <c r="H33" s="9">
        <v>1</v>
      </c>
      <c r="I33" s="1">
        <v>9.8800000000000008</v>
      </c>
      <c r="J33" s="10">
        <f>H33*6/I33</f>
        <v>0.60728744939271251</v>
      </c>
      <c r="K33" s="11">
        <v>1</v>
      </c>
      <c r="L33" s="12">
        <f>(J33*F33)*$D$2*(E33/1000)*K33</f>
        <v>93.889015982181562</v>
      </c>
      <c r="M33" s="13">
        <f>L33/10</f>
        <v>9.3889015982181565</v>
      </c>
      <c r="O33" s="1">
        <v>175.35415461322381</v>
      </c>
      <c r="P33" s="1">
        <v>178.389130366145</v>
      </c>
      <c r="Q33" s="1">
        <v>178.389130366145</v>
      </c>
      <c r="R33" s="1">
        <f t="shared" si="0"/>
        <v>177.37747178183793</v>
      </c>
      <c r="S33" s="1">
        <f t="shared" si="1"/>
        <v>1.7522440679330329</v>
      </c>
    </row>
    <row r="34" spans="1:19" x14ac:dyDescent="0.2">
      <c r="A34" s="6" t="s">
        <v>27</v>
      </c>
      <c r="B34" s="7">
        <v>100</v>
      </c>
      <c r="C34" s="7">
        <v>400</v>
      </c>
      <c r="D34" s="7">
        <v>100</v>
      </c>
      <c r="E34" s="8">
        <f>D34*$C$2/G34</f>
        <v>2280.2937018287953</v>
      </c>
      <c r="F34" s="7">
        <f>G34/B34</f>
        <v>6</v>
      </c>
      <c r="G34" s="7">
        <f>SUM(B34:D34)</f>
        <v>600</v>
      </c>
      <c r="H34" s="9">
        <v>1</v>
      </c>
      <c r="I34" s="1">
        <v>5.45</v>
      </c>
      <c r="J34" s="10">
        <f>H34*6/I34</f>
        <v>1.1009174311926606</v>
      </c>
      <c r="K34" s="11">
        <v>1</v>
      </c>
      <c r="L34" s="12">
        <f>(J34*F34)*$D$2*(E34/1000)*K34</f>
        <v>170.20614273467046</v>
      </c>
      <c r="M34" s="13">
        <f>L34/10</f>
        <v>17.020614273467046</v>
      </c>
      <c r="O34" s="1">
        <v>159.93508239723349</v>
      </c>
      <c r="P34" s="1">
        <v>159.93508239723349</v>
      </c>
      <c r="Q34" s="1">
        <v>170.20614273467046</v>
      </c>
      <c r="R34" s="1">
        <f t="shared" si="0"/>
        <v>163.35876917637916</v>
      </c>
      <c r="S34" s="1">
        <f t="shared" si="1"/>
        <v>5.9299994506821276</v>
      </c>
    </row>
    <row r="35" spans="1:19" x14ac:dyDescent="0.2">
      <c r="A35" s="6" t="s">
        <v>28</v>
      </c>
      <c r="B35" s="7">
        <v>100</v>
      </c>
      <c r="C35" s="7">
        <v>400</v>
      </c>
      <c r="D35" s="7">
        <v>100</v>
      </c>
      <c r="E35" s="8">
        <f>D35*$C$2/G35</f>
        <v>2280.2937018287953</v>
      </c>
      <c r="F35" s="7">
        <f>G35/B35</f>
        <v>6</v>
      </c>
      <c r="G35" s="7">
        <f>SUM(B35:D35)</f>
        <v>600</v>
      </c>
      <c r="H35" s="9">
        <v>1</v>
      </c>
      <c r="I35" s="1">
        <v>67.599999999999994</v>
      </c>
      <c r="J35" s="10">
        <f>H35*6/I35</f>
        <v>8.8757396449704151E-2</v>
      </c>
      <c r="K35" s="11">
        <v>1</v>
      </c>
      <c r="L35" s="12">
        <f>(J35*F35)*$D$2*(E35/1000)*K35</f>
        <v>13.72224079739577</v>
      </c>
      <c r="M35" s="13">
        <f>L35/10</f>
        <v>1.3722240797395771</v>
      </c>
      <c r="O35" s="1">
        <v>153.07318117226967</v>
      </c>
      <c r="P35" s="1">
        <v>146.77586675695474</v>
      </c>
      <c r="Q35" s="1">
        <v>149.37576133719065</v>
      </c>
      <c r="R35" s="1">
        <f t="shared" si="0"/>
        <v>149.74160308880502</v>
      </c>
      <c r="S35" s="1">
        <f t="shared" si="1"/>
        <v>3.1645572125893859</v>
      </c>
    </row>
    <row r="36" spans="1:19" x14ac:dyDescent="0.2">
      <c r="O36" s="1">
        <v>130.46743711729312</v>
      </c>
      <c r="P36" s="1">
        <v>127.07170930191153</v>
      </c>
      <c r="Q36" s="1">
        <v>125.18535464290878</v>
      </c>
      <c r="R36" s="1">
        <f t="shared" si="0"/>
        <v>127.57483368737114</v>
      </c>
      <c r="S36" s="1">
        <f t="shared" si="1"/>
        <v>2.6767423161340411</v>
      </c>
    </row>
    <row r="38" spans="1:19" x14ac:dyDescent="0.2">
      <c r="N38" s="1" t="s">
        <v>28</v>
      </c>
      <c r="O38" s="1">
        <v>9.3510431240317935</v>
      </c>
      <c r="P38" s="1">
        <v>10.22963694203743</v>
      </c>
      <c r="Q38" s="1">
        <v>8.4776409971116244</v>
      </c>
      <c r="R38" s="1">
        <f t="shared" si="0"/>
        <v>9.3527736877269501</v>
      </c>
      <c r="S38" s="1">
        <f t="shared" si="1"/>
        <v>0.87599925450718519</v>
      </c>
    </row>
    <row r="39" spans="1:19" x14ac:dyDescent="0.2">
      <c r="A39" s="14" t="s">
        <v>54</v>
      </c>
      <c r="O39" s="1">
        <v>14.097621244740941</v>
      </c>
      <c r="P39" s="1">
        <v>11.26303397163616</v>
      </c>
      <c r="Q39" s="1">
        <v>12.319036891154768</v>
      </c>
      <c r="R39" s="1">
        <f t="shared" si="0"/>
        <v>12.559897369177291</v>
      </c>
      <c r="S39" s="1">
        <f t="shared" si="1"/>
        <v>1.4325611957668081</v>
      </c>
    </row>
    <row r="40" spans="1:19" x14ac:dyDescent="0.2">
      <c r="A40" s="3"/>
      <c r="O40" s="1">
        <v>13.432138399999333</v>
      </c>
      <c r="P40" s="1">
        <v>14.231719513715158</v>
      </c>
      <c r="Q40" s="1">
        <v>13.72224079739577</v>
      </c>
      <c r="R40" s="1">
        <f t="shared" si="0"/>
        <v>13.795366237036754</v>
      </c>
      <c r="S40" s="1">
        <f t="shared" si="1"/>
        <v>0.40477522996692228</v>
      </c>
    </row>
    <row r="41" spans="1:19" x14ac:dyDescent="0.2">
      <c r="A41" s="5"/>
      <c r="B41" s="5" t="s">
        <v>4</v>
      </c>
      <c r="C41" s="5" t="s">
        <v>5</v>
      </c>
      <c r="D41" s="5" t="s">
        <v>6</v>
      </c>
      <c r="E41" s="5" t="s">
        <v>7</v>
      </c>
      <c r="F41" s="5" t="s">
        <v>8</v>
      </c>
      <c r="G41" s="5" t="s">
        <v>9</v>
      </c>
      <c r="H41" s="5" t="s">
        <v>10</v>
      </c>
      <c r="I41" s="5" t="s">
        <v>11</v>
      </c>
      <c r="J41" s="5" t="s">
        <v>12</v>
      </c>
      <c r="K41" s="5" t="s">
        <v>13</v>
      </c>
      <c r="L41" s="5" t="s">
        <v>14</v>
      </c>
      <c r="M41" s="5" t="s">
        <v>15</v>
      </c>
      <c r="O41" s="1">
        <v>17.226062728021432</v>
      </c>
      <c r="P41" s="1">
        <v>17.797841095624598</v>
      </c>
      <c r="Q41" s="1">
        <v>18.138902579271686</v>
      </c>
      <c r="R41" s="1">
        <f t="shared" si="0"/>
        <v>17.72093546763924</v>
      </c>
      <c r="S41" s="1">
        <f t="shared" si="1"/>
        <v>0.46125373193017466</v>
      </c>
    </row>
    <row r="42" spans="1:19" x14ac:dyDescent="0.2">
      <c r="A42" s="6" t="s">
        <v>26</v>
      </c>
      <c r="B42" s="7">
        <v>100</v>
      </c>
      <c r="C42" s="7">
        <v>400</v>
      </c>
      <c r="D42" s="7">
        <v>100</v>
      </c>
      <c r="E42" s="8">
        <f>D42*$C$2/G42</f>
        <v>2280.2937018287953</v>
      </c>
      <c r="F42" s="7">
        <f>G42/B42</f>
        <v>6</v>
      </c>
      <c r="G42" s="7">
        <f>SUM(B42:D42)</f>
        <v>600</v>
      </c>
      <c r="H42" s="9">
        <v>1</v>
      </c>
      <c r="I42" s="1">
        <v>10.28</v>
      </c>
      <c r="J42" s="10">
        <f>H42*6/I42</f>
        <v>0.58365758754863817</v>
      </c>
      <c r="K42" s="11">
        <v>1</v>
      </c>
      <c r="L42" s="12">
        <f>(J42*F42)*$D$2*(E42/1000)*K42</f>
        <v>90.235746877816538</v>
      </c>
      <c r="M42" s="13">
        <f>L42/10</f>
        <v>9.0235746877816538</v>
      </c>
      <c r="O42" s="1">
        <v>21.965983374472039</v>
      </c>
      <c r="P42" s="1">
        <v>20.577273245429328</v>
      </c>
      <c r="Q42" s="1">
        <v>25.428275161840844</v>
      </c>
      <c r="R42" s="1">
        <f t="shared" si="0"/>
        <v>22.657177260580738</v>
      </c>
      <c r="S42" s="1">
        <f t="shared" si="1"/>
        <v>2.4982727311890076</v>
      </c>
    </row>
    <row r="43" spans="1:19" x14ac:dyDescent="0.2">
      <c r="A43" s="6" t="s">
        <v>27</v>
      </c>
      <c r="B43" s="7">
        <v>100</v>
      </c>
      <c r="C43" s="7">
        <v>400</v>
      </c>
      <c r="D43" s="7">
        <v>100</v>
      </c>
      <c r="E43" s="8">
        <f>D43*$C$2/G43</f>
        <v>2280.2937018287953</v>
      </c>
      <c r="F43" s="7">
        <f>G43/B43</f>
        <v>6</v>
      </c>
      <c r="G43" s="7">
        <f>SUM(B43:D43)</f>
        <v>600</v>
      </c>
      <c r="H43" s="9">
        <v>1</v>
      </c>
      <c r="I43" s="1">
        <v>6.21</v>
      </c>
      <c r="J43" s="10">
        <f>H43*6/I43</f>
        <v>0.96618357487922701</v>
      </c>
      <c r="K43" s="11">
        <v>1</v>
      </c>
      <c r="L43" s="12">
        <f>(J43*F43)*$D$2*(E43/1000)*K43</f>
        <v>149.37576133719065</v>
      </c>
      <c r="M43" s="13">
        <f>L43/10</f>
        <v>14.937576133719066</v>
      </c>
    </row>
    <row r="44" spans="1:19" x14ac:dyDescent="0.2">
      <c r="A44" s="6" t="s">
        <v>28</v>
      </c>
      <c r="B44" s="7">
        <v>100</v>
      </c>
      <c r="C44" s="7">
        <v>400</v>
      </c>
      <c r="D44" s="7">
        <v>100</v>
      </c>
      <c r="E44" s="8">
        <f>D44*$C$2/G44</f>
        <v>2280.2937018287953</v>
      </c>
      <c r="F44" s="7">
        <f>G44/B44</f>
        <v>6</v>
      </c>
      <c r="G44" s="7">
        <f>SUM(B44:D44)</f>
        <v>600</v>
      </c>
      <c r="H44" s="9">
        <v>1</v>
      </c>
      <c r="I44" s="1">
        <v>51.14</v>
      </c>
      <c r="J44" s="10">
        <f>H44*6/I44</f>
        <v>0.11732499022291748</v>
      </c>
      <c r="K44" s="11">
        <v>1</v>
      </c>
      <c r="L44" s="12">
        <f>(J44*F44)*$D$2*(E44/1000)*K44</f>
        <v>18.138902579271686</v>
      </c>
      <c r="M44" s="13">
        <f>L44/10</f>
        <v>1.8138902579271687</v>
      </c>
      <c r="N44" s="1" t="s">
        <v>23</v>
      </c>
      <c r="O44" s="1">
        <v>81.370480517890712</v>
      </c>
      <c r="P44" s="1">
        <v>77.62539564049824</v>
      </c>
      <c r="Q44" s="1">
        <v>79.081285413806825</v>
      </c>
      <c r="R44" s="1">
        <f t="shared" si="0"/>
        <v>79.359053857398592</v>
      </c>
      <c r="S44" s="1">
        <f t="shared" si="1"/>
        <v>1.8879305246512625</v>
      </c>
    </row>
    <row r="46" spans="1:19" x14ac:dyDescent="0.2">
      <c r="A46" s="14" t="s">
        <v>55</v>
      </c>
    </row>
    <row r="47" spans="1:19" x14ac:dyDescent="0.2">
      <c r="A47" s="3"/>
    </row>
    <row r="48" spans="1:19" x14ac:dyDescent="0.2">
      <c r="A48" s="5"/>
      <c r="B48" s="5" t="s">
        <v>4</v>
      </c>
      <c r="C48" s="5" t="s">
        <v>5</v>
      </c>
      <c r="D48" s="5" t="s">
        <v>6</v>
      </c>
      <c r="E48" s="5" t="s">
        <v>7</v>
      </c>
      <c r="F48" s="5" t="s">
        <v>8</v>
      </c>
      <c r="G48" s="5" t="s">
        <v>9</v>
      </c>
      <c r="H48" s="5" t="s">
        <v>10</v>
      </c>
      <c r="I48" s="5" t="s">
        <v>11</v>
      </c>
      <c r="J48" s="5" t="s">
        <v>12</v>
      </c>
      <c r="K48" s="5" t="s">
        <v>13</v>
      </c>
      <c r="L48" s="5" t="s">
        <v>14</v>
      </c>
      <c r="M48" s="5" t="s">
        <v>15</v>
      </c>
    </row>
    <row r="49" spans="1:13" x14ac:dyDescent="0.2">
      <c r="A49" s="6" t="s">
        <v>26</v>
      </c>
      <c r="B49" s="7">
        <v>100</v>
      </c>
      <c r="C49" s="7">
        <v>400</v>
      </c>
      <c r="D49" s="7">
        <v>100</v>
      </c>
      <c r="E49" s="8">
        <f>D49*$C$2/G49</f>
        <v>2280.2937018287953</v>
      </c>
      <c r="F49" s="7">
        <f>G49/B49</f>
        <v>6</v>
      </c>
      <c r="G49" s="7">
        <f>SUM(B49:D49)</f>
        <v>600</v>
      </c>
      <c r="H49" s="9">
        <v>1</v>
      </c>
      <c r="I49" s="1">
        <v>11.03</v>
      </c>
      <c r="J49" s="10">
        <f>H49*6/I49</f>
        <v>0.54397098821396195</v>
      </c>
      <c r="K49" s="11">
        <v>1</v>
      </c>
      <c r="L49" s="12">
        <f>(J49*F49)*$D$2*(E49/1000)*K49</f>
        <v>84.100043327647683</v>
      </c>
      <c r="M49" s="13">
        <f>L49/10</f>
        <v>8.4100043327647676</v>
      </c>
    </row>
    <row r="50" spans="1:13" x14ac:dyDescent="0.2">
      <c r="A50" s="6" t="s">
        <v>27</v>
      </c>
      <c r="B50" s="7">
        <v>100</v>
      </c>
      <c r="C50" s="7">
        <v>400</v>
      </c>
      <c r="D50" s="7">
        <v>100</v>
      </c>
      <c r="E50" s="8">
        <f>D50*$C$2/G50</f>
        <v>2280.2937018287953</v>
      </c>
      <c r="F50" s="7">
        <f>G50/B50</f>
        <v>6</v>
      </c>
      <c r="G50" s="7">
        <f>SUM(B50:D50)</f>
        <v>600</v>
      </c>
      <c r="H50" s="9">
        <v>1</v>
      </c>
      <c r="I50" s="1">
        <v>7.41</v>
      </c>
      <c r="J50" s="10">
        <f>H50*6/I50</f>
        <v>0.80971659919028338</v>
      </c>
      <c r="K50" s="11">
        <v>1</v>
      </c>
      <c r="L50" s="12">
        <f>(J50*F50)*$D$2*(E50/1000)*K50</f>
        <v>125.18535464290878</v>
      </c>
      <c r="M50" s="13">
        <f>L50/10</f>
        <v>12.518535464290878</v>
      </c>
    </row>
    <row r="51" spans="1:13" x14ac:dyDescent="0.2">
      <c r="A51" s="6" t="s">
        <v>28</v>
      </c>
      <c r="B51" s="7">
        <v>100</v>
      </c>
      <c r="C51" s="7">
        <v>400</v>
      </c>
      <c r="D51" s="7">
        <v>100</v>
      </c>
      <c r="E51" s="8">
        <f>D51*$C$2/G51</f>
        <v>2280.2937018287953</v>
      </c>
      <c r="F51" s="7">
        <f>G51/B51</f>
        <v>6</v>
      </c>
      <c r="G51" s="7">
        <f>SUM(B51:D51)</f>
        <v>600</v>
      </c>
      <c r="H51" s="9">
        <v>1</v>
      </c>
      <c r="I51" s="1">
        <v>36.479999999999997</v>
      </c>
      <c r="J51" s="10">
        <f>H51*6/I51</f>
        <v>0.16447368421052633</v>
      </c>
      <c r="K51" s="11">
        <v>1</v>
      </c>
      <c r="L51" s="12">
        <f>(J51*F51)*$D$2*(E51/1000)*K51</f>
        <v>25.428275161840844</v>
      </c>
      <c r="M51" s="13">
        <f>L51/10</f>
        <v>2.5428275161840843</v>
      </c>
    </row>
    <row r="55" spans="1:13" x14ac:dyDescent="0.2">
      <c r="A55" s="3" t="s">
        <v>16</v>
      </c>
    </row>
    <row r="56" spans="1:13" x14ac:dyDescent="0.2">
      <c r="A56" s="5"/>
      <c r="B56" s="5" t="s">
        <v>4</v>
      </c>
      <c r="C56" s="5" t="s">
        <v>5</v>
      </c>
      <c r="D56" s="5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5" t="s">
        <v>15</v>
      </c>
    </row>
    <row r="57" spans="1:13" x14ac:dyDescent="0.2">
      <c r="A57" s="1" t="s">
        <v>57</v>
      </c>
      <c r="B57" s="7">
        <v>100</v>
      </c>
      <c r="C57" s="7">
        <v>400</v>
      </c>
      <c r="D57" s="7">
        <v>100</v>
      </c>
      <c r="E57" s="8">
        <f>D57*$C$2/G57</f>
        <v>2280.2937018287953</v>
      </c>
      <c r="F57" s="7">
        <f>G57/B57</f>
        <v>6</v>
      </c>
      <c r="G57" s="7">
        <f>SUM(B57:D57)</f>
        <v>600</v>
      </c>
      <c r="H57" s="9">
        <v>1</v>
      </c>
      <c r="I57" s="1">
        <v>11.73</v>
      </c>
      <c r="J57" s="10">
        <f>H57*6/I57</f>
        <v>0.51150895140664965</v>
      </c>
      <c r="K57" s="11">
        <v>1</v>
      </c>
      <c r="L57" s="12">
        <f>(J57*F57)*$D$2*(E57/1000)*K57</f>
        <v>79.081285413806825</v>
      </c>
      <c r="M57" s="13">
        <f>L57/10</f>
        <v>7.9081285413806821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1A5C-A823-48C1-9DE5-9B651D7975B8}">
  <dimension ref="B2:N67"/>
  <sheetViews>
    <sheetView workbookViewId="0">
      <selection activeCell="G13" sqref="G13"/>
    </sheetView>
  </sheetViews>
  <sheetFormatPr baseColWidth="10" defaultColWidth="8.83203125" defaultRowHeight="15" x14ac:dyDescent="0.2"/>
  <cols>
    <col min="3" max="3" width="11.83203125" customWidth="1"/>
    <col min="7" max="7" width="11.83203125" customWidth="1"/>
  </cols>
  <sheetData>
    <row r="2" spans="2:14" ht="16" x14ac:dyDescent="0.2">
      <c r="C2" s="1" t="s">
        <v>57</v>
      </c>
    </row>
    <row r="3" spans="2:14" x14ac:dyDescent="0.2">
      <c r="C3" s="14" t="s">
        <v>32</v>
      </c>
    </row>
    <row r="4" spans="2:14" x14ac:dyDescent="0.2">
      <c r="C4" s="14" t="s">
        <v>22</v>
      </c>
      <c r="G4" s="14" t="s">
        <v>17</v>
      </c>
      <c r="L4" s="14" t="s">
        <v>18</v>
      </c>
    </row>
    <row r="5" spans="2:14" x14ac:dyDescent="0.2">
      <c r="C5" t="s">
        <v>21</v>
      </c>
      <c r="D5" t="s">
        <v>19</v>
      </c>
      <c r="E5" t="s">
        <v>20</v>
      </c>
      <c r="G5" t="s">
        <v>21</v>
      </c>
      <c r="H5" t="s">
        <v>19</v>
      </c>
      <c r="I5" t="s">
        <v>20</v>
      </c>
      <c r="L5" t="s">
        <v>21</v>
      </c>
      <c r="M5" t="s">
        <v>19</v>
      </c>
      <c r="N5" t="s">
        <v>20</v>
      </c>
    </row>
    <row r="6" spans="2:14" x14ac:dyDescent="0.2">
      <c r="B6" t="s">
        <v>29</v>
      </c>
      <c r="C6">
        <v>200</v>
      </c>
      <c r="D6">
        <v>0.68500000000000005</v>
      </c>
      <c r="E6">
        <f>(D6/41199)*66430*C6</f>
        <v>220.90123546688028</v>
      </c>
      <c r="G6">
        <v>50</v>
      </c>
      <c r="H6">
        <v>7.0000000000000007E-2</v>
      </c>
      <c r="I6">
        <f>(H6/41199)*66430*G6</f>
        <v>5.6434622199567954</v>
      </c>
      <c r="L6">
        <v>300</v>
      </c>
      <c r="M6">
        <v>0.96899999999999997</v>
      </c>
      <c r="N6">
        <f>(M6/41199)*66430*L6</f>
        <v>468.7298478118401</v>
      </c>
    </row>
    <row r="7" spans="2:14" x14ac:dyDescent="0.2">
      <c r="B7" t="s">
        <v>30</v>
      </c>
      <c r="C7">
        <v>200</v>
      </c>
      <c r="D7">
        <v>0.66100000000000003</v>
      </c>
      <c r="E7">
        <f>(D7/41199)*66430*C7</f>
        <v>213.1616301366538</v>
      </c>
      <c r="G7">
        <v>50</v>
      </c>
      <c r="H7">
        <v>9.0999999999999998E-2</v>
      </c>
      <c r="I7">
        <f>(H7/41199)*66430*G7</f>
        <v>7.3365008859438339</v>
      </c>
      <c r="L7">
        <v>300</v>
      </c>
      <c r="M7">
        <v>0.91500000000000004</v>
      </c>
      <c r="N7">
        <f>(M7/41199)*66430*L7</f>
        <v>442.60867982232577</v>
      </c>
    </row>
    <row r="8" spans="2:14" x14ac:dyDescent="0.2">
      <c r="B8" t="s">
        <v>31</v>
      </c>
      <c r="C8">
        <v>200</v>
      </c>
      <c r="D8">
        <v>0.66300000000000003</v>
      </c>
      <c r="E8">
        <f>(D8/41199)*66430*C8</f>
        <v>213.80659724750601</v>
      </c>
      <c r="G8">
        <v>50</v>
      </c>
      <c r="H8">
        <v>8.2000000000000003E-2</v>
      </c>
      <c r="I8">
        <f>(H8/41199)*66430*G8</f>
        <v>6.610912886235103</v>
      </c>
      <c r="L8">
        <v>300</v>
      </c>
      <c r="M8">
        <v>0.95099999999999996</v>
      </c>
      <c r="N8">
        <f>(M8/41199)*66430*L8</f>
        <v>460.02279181533532</v>
      </c>
    </row>
    <row r="9" spans="2:14" x14ac:dyDescent="0.2">
      <c r="E9" s="14">
        <f>AVERAGE(E6:E8)</f>
        <v>215.95648761701338</v>
      </c>
      <c r="I9" s="14">
        <f>AVERAGE(I6:I8)</f>
        <v>6.5302919973785771</v>
      </c>
      <c r="N9" s="14">
        <f>AVERAGE(N6:N8)</f>
        <v>457.12043981650044</v>
      </c>
    </row>
    <row r="10" spans="2:14" x14ac:dyDescent="0.2">
      <c r="E10" s="14">
        <f>_xlfn.STDEV.P(E6:E8)</f>
        <v>3.5063650805920461</v>
      </c>
      <c r="I10" s="14">
        <f>_xlfn.STDEV.P(I6:I8)</f>
        <v>0.69352710926192496</v>
      </c>
      <c r="N10" s="14">
        <f>_xlfn.STDEV.P(N6:N8)</f>
        <v>10.859606795458815</v>
      </c>
    </row>
    <row r="13" spans="2:14" x14ac:dyDescent="0.2">
      <c r="C13" s="14" t="s">
        <v>25</v>
      </c>
    </row>
    <row r="15" spans="2:14" x14ac:dyDescent="0.2">
      <c r="C15" t="s">
        <v>22</v>
      </c>
      <c r="G15" t="s">
        <v>17</v>
      </c>
      <c r="L15" t="s">
        <v>18</v>
      </c>
    </row>
    <row r="16" spans="2:14" x14ac:dyDescent="0.2">
      <c r="C16" t="s">
        <v>21</v>
      </c>
      <c r="D16" t="s">
        <v>19</v>
      </c>
      <c r="E16" t="s">
        <v>20</v>
      </c>
      <c r="G16" t="s">
        <v>21</v>
      </c>
      <c r="H16" t="s">
        <v>19</v>
      </c>
      <c r="I16" t="s">
        <v>20</v>
      </c>
      <c r="L16" t="s">
        <v>21</v>
      </c>
      <c r="M16" t="s">
        <v>19</v>
      </c>
      <c r="N16" t="s">
        <v>20</v>
      </c>
    </row>
    <row r="17" spans="2:14" x14ac:dyDescent="0.2">
      <c r="B17" t="s">
        <v>29</v>
      </c>
      <c r="C17">
        <v>200</v>
      </c>
      <c r="D17">
        <v>0.64</v>
      </c>
      <c r="E17">
        <f>(D17/41199)*66430*C17</f>
        <v>206.38947547270564</v>
      </c>
      <c r="G17">
        <v>50</v>
      </c>
      <c r="H17">
        <v>0.11700000000000001</v>
      </c>
      <c r="I17">
        <f>(H17/41199)*66430*G17</f>
        <v>9.4326439962135016</v>
      </c>
      <c r="L17">
        <v>300</v>
      </c>
      <c r="M17">
        <v>0.88500000000000001</v>
      </c>
      <c r="N17">
        <f>(M17/41199)*66430*L17</f>
        <v>428.09691982815116</v>
      </c>
    </row>
    <row r="18" spans="2:14" x14ac:dyDescent="0.2">
      <c r="B18" t="s">
        <v>30</v>
      </c>
      <c r="C18">
        <v>200</v>
      </c>
      <c r="D18">
        <v>0.625</v>
      </c>
      <c r="E18">
        <f>(D18/41199)*66430*C18</f>
        <v>201.5522221413141</v>
      </c>
      <c r="G18">
        <v>50</v>
      </c>
      <c r="H18">
        <v>0.186</v>
      </c>
      <c r="I18">
        <f>(H18/41199)*66430*G18</f>
        <v>14.995485327313771</v>
      </c>
      <c r="L18">
        <v>300</v>
      </c>
      <c r="M18">
        <v>0.88300000000000001</v>
      </c>
      <c r="N18">
        <f>(M18/41199)*66430*L18</f>
        <v>427.12946916187286</v>
      </c>
    </row>
    <row r="19" spans="2:14" x14ac:dyDescent="0.2">
      <c r="B19" t="s">
        <v>31</v>
      </c>
      <c r="C19">
        <v>200</v>
      </c>
      <c r="D19">
        <v>0.622</v>
      </c>
      <c r="E19">
        <f>(D19/41199)*66430*C19</f>
        <v>200.58477147503581</v>
      </c>
      <c r="G19">
        <v>50</v>
      </c>
      <c r="H19">
        <v>0.114</v>
      </c>
      <c r="I19">
        <f>(H19/41199)*66430*G19</f>
        <v>9.190781329643924</v>
      </c>
      <c r="L19">
        <v>300</v>
      </c>
      <c r="M19">
        <v>0.89200000000000002</v>
      </c>
      <c r="N19">
        <f>(M19/41199)*66430*L19</f>
        <v>431.48299716012525</v>
      </c>
    </row>
    <row r="20" spans="2:14" x14ac:dyDescent="0.2">
      <c r="E20" s="14">
        <f>AVERAGE(E17:E19)</f>
        <v>202.84215636301852</v>
      </c>
      <c r="I20" s="14">
        <f>AVERAGE(I17:I19)</f>
        <v>11.206303551057067</v>
      </c>
      <c r="N20" s="14">
        <f>AVERAGE(N17:N19)</f>
        <v>428.90312871671648</v>
      </c>
    </row>
    <row r="21" spans="2:14" x14ac:dyDescent="0.2">
      <c r="E21" s="14">
        <f>_xlfn.STDEV.P(E17:E19)</f>
        <v>2.5392380546644517</v>
      </c>
      <c r="I21" s="14">
        <f>_xlfn.STDEV.P(I17:I19)</f>
        <v>2.6811749026010934</v>
      </c>
      <c r="N21" s="14">
        <f>_xlfn.STDEV.P(N17:N19)</f>
        <v>1.8665085207222412</v>
      </c>
    </row>
    <row r="24" spans="2:14" x14ac:dyDescent="0.2">
      <c r="C24" s="14" t="s">
        <v>53</v>
      </c>
    </row>
    <row r="26" spans="2:14" x14ac:dyDescent="0.2">
      <c r="C26" t="s">
        <v>22</v>
      </c>
      <c r="G26" t="s">
        <v>17</v>
      </c>
      <c r="L26" t="s">
        <v>18</v>
      </c>
    </row>
    <row r="27" spans="2:14" x14ac:dyDescent="0.2">
      <c r="C27" t="s">
        <v>21</v>
      </c>
      <c r="D27" t="s">
        <v>19</v>
      </c>
      <c r="E27" t="s">
        <v>20</v>
      </c>
      <c r="G27" t="s">
        <v>21</v>
      </c>
      <c r="H27" t="s">
        <v>19</v>
      </c>
      <c r="I27" t="s">
        <v>20</v>
      </c>
      <c r="L27" t="s">
        <v>21</v>
      </c>
      <c r="M27" t="s">
        <v>19</v>
      </c>
      <c r="N27" t="s">
        <v>20</v>
      </c>
    </row>
    <row r="28" spans="2:14" x14ac:dyDescent="0.2">
      <c r="B28" t="s">
        <v>29</v>
      </c>
      <c r="C28">
        <v>200</v>
      </c>
      <c r="D28">
        <v>0.61899999999999999</v>
      </c>
      <c r="E28">
        <f>(D28/41199)*66430*C28</f>
        <v>199.61732080875748</v>
      </c>
      <c r="G28">
        <v>50</v>
      </c>
      <c r="H28">
        <v>0.17299999999999999</v>
      </c>
      <c r="I28">
        <f>(H28/41199)*66430*G28</f>
        <v>13.947413772178935</v>
      </c>
      <c r="L28">
        <v>300</v>
      </c>
      <c r="M28">
        <v>0.88100000000000001</v>
      </c>
      <c r="N28">
        <f>(M28/41199)*66430*L28</f>
        <v>426.16201849559457</v>
      </c>
    </row>
    <row r="29" spans="2:14" x14ac:dyDescent="0.2">
      <c r="B29" t="s">
        <v>30</v>
      </c>
      <c r="C29">
        <v>200</v>
      </c>
      <c r="D29">
        <v>0.61699999999999999</v>
      </c>
      <c r="E29">
        <f>(D29/41199)*66430*C29</f>
        <v>198.97235369790531</v>
      </c>
      <c r="G29">
        <v>50</v>
      </c>
      <c r="H29">
        <v>0.26600000000000001</v>
      </c>
      <c r="I29">
        <f>(H29/41199)*66430*G29</f>
        <v>21.44515643583582</v>
      </c>
      <c r="L29">
        <v>300</v>
      </c>
      <c r="M29">
        <v>0.871</v>
      </c>
      <c r="N29">
        <f>(M29/41199)*66430*L29</f>
        <v>421.32476516420297</v>
      </c>
    </row>
    <row r="30" spans="2:14" x14ac:dyDescent="0.2">
      <c r="B30" t="s">
        <v>31</v>
      </c>
      <c r="C30">
        <v>200</v>
      </c>
      <c r="D30">
        <v>0.61199999999999999</v>
      </c>
      <c r="E30">
        <f>(D30/41199)*66430*C30</f>
        <v>197.35993592077477</v>
      </c>
      <c r="G30">
        <v>50</v>
      </c>
      <c r="H30">
        <v>0.17100000000000001</v>
      </c>
      <c r="I30">
        <f>(H30/41199)*66430*G30</f>
        <v>13.786171994465887</v>
      </c>
      <c r="L30">
        <v>300</v>
      </c>
      <c r="M30">
        <v>0.86899999999999999</v>
      </c>
      <c r="N30">
        <f>(M30/41199)*66430*L30</f>
        <v>420.35731449792468</v>
      </c>
    </row>
    <row r="31" spans="2:14" x14ac:dyDescent="0.2">
      <c r="E31" s="14">
        <f>AVERAGE(E28:E30)</f>
        <v>198.64987014247922</v>
      </c>
      <c r="I31" s="14">
        <f>AVERAGE(I28:I30)</f>
        <v>16.392914067493546</v>
      </c>
      <c r="N31" s="14">
        <f>AVERAGE(N28:N30)</f>
        <v>422.61469938590744</v>
      </c>
    </row>
    <row r="32" spans="2:14" x14ac:dyDescent="0.2">
      <c r="E32" s="14">
        <f>_xlfn.STDEV.P(E28:E30)</f>
        <v>0.94936588161550584</v>
      </c>
      <c r="I32" s="14">
        <f>_xlfn.STDEV.P(I28:I30)</f>
        <v>3.5730812509722907</v>
      </c>
      <c r="N32" s="14">
        <f>_xlfn.STDEV.P(N28:N30)</f>
        <v>2.5392380546644784</v>
      </c>
    </row>
    <row r="36" spans="2:14" x14ac:dyDescent="0.2">
      <c r="C36" s="14" t="s">
        <v>54</v>
      </c>
    </row>
    <row r="38" spans="2:14" x14ac:dyDescent="0.2">
      <c r="C38" s="14" t="s">
        <v>22</v>
      </c>
      <c r="G38" s="14" t="s">
        <v>17</v>
      </c>
      <c r="L38" s="14" t="s">
        <v>18</v>
      </c>
    </row>
    <row r="39" spans="2:14" x14ac:dyDescent="0.2">
      <c r="C39" t="s">
        <v>21</v>
      </c>
      <c r="D39" t="s">
        <v>19</v>
      </c>
      <c r="E39" t="s">
        <v>20</v>
      </c>
      <c r="G39" t="s">
        <v>21</v>
      </c>
      <c r="H39" t="s">
        <v>19</v>
      </c>
      <c r="I39" t="s">
        <v>20</v>
      </c>
      <c r="L39" t="s">
        <v>21</v>
      </c>
      <c r="M39" t="s">
        <v>19</v>
      </c>
      <c r="N39" t="s">
        <v>20</v>
      </c>
    </row>
    <row r="40" spans="2:14" x14ac:dyDescent="0.2">
      <c r="B40" t="s">
        <v>29</v>
      </c>
      <c r="C40">
        <v>200</v>
      </c>
      <c r="D40">
        <v>0.60099999999999998</v>
      </c>
      <c r="E40">
        <f>(D40/41199)*66430*C40</f>
        <v>193.81261681108762</v>
      </c>
      <c r="G40">
        <v>50</v>
      </c>
      <c r="H40">
        <v>0.26400000000000001</v>
      </c>
      <c r="I40">
        <f>(H40/41199)*66430*G40</f>
        <v>21.283914658122772</v>
      </c>
      <c r="L40">
        <v>300</v>
      </c>
      <c r="M40">
        <v>0.83899999999999997</v>
      </c>
      <c r="N40">
        <f>(M40/41199)*66430*L40</f>
        <v>405.84555450375007</v>
      </c>
    </row>
    <row r="41" spans="2:14" x14ac:dyDescent="0.2">
      <c r="B41" t="s">
        <v>30</v>
      </c>
      <c r="C41">
        <v>200</v>
      </c>
      <c r="D41">
        <v>0.59299999999999997</v>
      </c>
      <c r="E41">
        <f>(D41/41199)*66430*C41</f>
        <v>191.23274836767879</v>
      </c>
      <c r="G41">
        <v>50</v>
      </c>
      <c r="H41">
        <v>0.32200000000000001</v>
      </c>
      <c r="I41">
        <f>(H41/41199)*66430*G41</f>
        <v>25.95992621180126</v>
      </c>
      <c r="L41">
        <v>300</v>
      </c>
      <c r="M41">
        <v>0.84699999999999998</v>
      </c>
      <c r="N41">
        <f>(M41/41199)*66430*L41</f>
        <v>409.71535716886336</v>
      </c>
    </row>
    <row r="42" spans="2:14" x14ac:dyDescent="0.2">
      <c r="B42" t="s">
        <v>31</v>
      </c>
      <c r="C42">
        <v>200</v>
      </c>
      <c r="D42">
        <v>0.58399999999999996</v>
      </c>
      <c r="E42">
        <f>(D42/41199)*66430*C42</f>
        <v>188.33039636884388</v>
      </c>
      <c r="G42">
        <v>50</v>
      </c>
      <c r="H42">
        <v>0.30099999999999999</v>
      </c>
      <c r="I42">
        <f>(H42/41199)*66430*G42</f>
        <v>24.266887545814217</v>
      </c>
      <c r="L42">
        <v>300</v>
      </c>
      <c r="M42">
        <v>0.76200000000000001</v>
      </c>
      <c r="N42">
        <f>(M42/41199)*66430*L42</f>
        <v>368.59870385203527</v>
      </c>
    </row>
    <row r="43" spans="2:14" x14ac:dyDescent="0.2">
      <c r="E43" s="14">
        <f>AVERAGE(E40:E42)</f>
        <v>191.12525384920343</v>
      </c>
      <c r="I43" s="14">
        <f>AVERAGE(I40:I42)</f>
        <v>23.836909471912747</v>
      </c>
      <c r="N43" s="14">
        <f>AVERAGE(N40:N42)</f>
        <v>394.71987184154955</v>
      </c>
    </row>
    <row r="44" spans="2:14" x14ac:dyDescent="0.2">
      <c r="E44" s="14">
        <f>_xlfn.STDEV.P(E40:E42)</f>
        <v>2.2393974707445281</v>
      </c>
      <c r="I44" s="14">
        <f>_xlfn.STDEV.P(I40:I42)</f>
        <v>1.9330342074160147</v>
      </c>
      <c r="N44" s="14">
        <f>_xlfn.STDEV.P(N40:N42)</f>
        <v>18.53789642900994</v>
      </c>
    </row>
    <row r="47" spans="2:14" x14ac:dyDescent="0.2">
      <c r="C47" s="14" t="s">
        <v>55</v>
      </c>
    </row>
    <row r="49" spans="2:14" x14ac:dyDescent="0.2">
      <c r="C49" t="s">
        <v>22</v>
      </c>
      <c r="G49" t="s">
        <v>17</v>
      </c>
      <c r="L49" t="s">
        <v>18</v>
      </c>
    </row>
    <row r="50" spans="2:14" x14ac:dyDescent="0.2">
      <c r="C50" t="s">
        <v>21</v>
      </c>
      <c r="D50" t="s">
        <v>19</v>
      </c>
      <c r="E50" t="s">
        <v>20</v>
      </c>
      <c r="G50" t="s">
        <v>21</v>
      </c>
      <c r="H50" t="s">
        <v>19</v>
      </c>
      <c r="I50" t="s">
        <v>20</v>
      </c>
      <c r="L50" t="s">
        <v>21</v>
      </c>
      <c r="M50" t="s">
        <v>19</v>
      </c>
      <c r="N50" t="s">
        <v>20</v>
      </c>
    </row>
    <row r="51" spans="2:14" x14ac:dyDescent="0.2">
      <c r="B51" t="s">
        <v>29</v>
      </c>
      <c r="C51">
        <v>200</v>
      </c>
      <c r="D51">
        <v>0.56200000000000006</v>
      </c>
      <c r="E51">
        <f>(D51/41199)*66430*C51</f>
        <v>181.23575814946966</v>
      </c>
      <c r="G51">
        <v>50</v>
      </c>
      <c r="H51">
        <v>0.38100000000000001</v>
      </c>
      <c r="I51">
        <f>(H51/41199)*66430*G51</f>
        <v>30.716558654336275</v>
      </c>
      <c r="L51">
        <v>300</v>
      </c>
      <c r="M51">
        <v>0.80700000000000005</v>
      </c>
      <c r="N51">
        <f>(M51/41199)*66430*L51</f>
        <v>390.36634384329716</v>
      </c>
    </row>
    <row r="52" spans="2:14" x14ac:dyDescent="0.2">
      <c r="B52" t="s">
        <v>30</v>
      </c>
      <c r="C52">
        <v>200</v>
      </c>
      <c r="D52">
        <v>0.54700000000000004</v>
      </c>
      <c r="E52">
        <f>(D52/41199)*66430*C52</f>
        <v>176.39850481807812</v>
      </c>
      <c r="G52">
        <v>50</v>
      </c>
      <c r="H52">
        <v>0.43099999999999999</v>
      </c>
      <c r="I52">
        <f>(H52/41199)*66430*G52</f>
        <v>34.747603097162546</v>
      </c>
      <c r="L52">
        <v>300</v>
      </c>
      <c r="M52">
        <v>0.70199999999999996</v>
      </c>
      <c r="N52">
        <f>(M52/41199)*66430*L52</f>
        <v>339.57518386368599</v>
      </c>
    </row>
    <row r="53" spans="2:14" x14ac:dyDescent="0.2">
      <c r="B53" t="s">
        <v>31</v>
      </c>
      <c r="C53">
        <v>200</v>
      </c>
      <c r="D53">
        <v>0.54</v>
      </c>
      <c r="E53">
        <f>(D53/41199)*66430*C53</f>
        <v>174.14111993009541</v>
      </c>
      <c r="G53">
        <v>50</v>
      </c>
      <c r="H53">
        <v>0.42499999999999999</v>
      </c>
      <c r="I53">
        <f>(H53/41199)*66430*G53</f>
        <v>34.263877764023398</v>
      </c>
      <c r="L53">
        <v>300</v>
      </c>
      <c r="M53">
        <v>0.7</v>
      </c>
      <c r="N53">
        <f>(M53/41199)*66430*L53</f>
        <v>338.6077331974077</v>
      </c>
    </row>
    <row r="54" spans="2:14" x14ac:dyDescent="0.2">
      <c r="E54" s="14">
        <f>AVERAGE(E51:E53)</f>
        <v>177.25846096588108</v>
      </c>
      <c r="I54" s="14">
        <f>AVERAGE(I51:I53)</f>
        <v>33.242679838507406</v>
      </c>
      <c r="N54" s="14">
        <f>AVERAGE(N51:N53)</f>
        <v>356.18308696813028</v>
      </c>
    </row>
    <row r="55" spans="2:14" x14ac:dyDescent="0.2">
      <c r="E55" s="14">
        <f>_xlfn.STDEV.P(E51:E53)</f>
        <v>2.9595175618175227</v>
      </c>
      <c r="I55" s="14">
        <f>_xlfn.STDEV.P(I51:I53)</f>
        <v>1.7971206094414411</v>
      </c>
      <c r="N55" s="14">
        <f>_xlfn.STDEV.P(N51:N53)</f>
        <v>24.17443936810329</v>
      </c>
    </row>
    <row r="59" spans="2:14" x14ac:dyDescent="0.2">
      <c r="C59" s="14" t="s">
        <v>23</v>
      </c>
    </row>
    <row r="61" spans="2:14" x14ac:dyDescent="0.2">
      <c r="C61" t="s">
        <v>22</v>
      </c>
    </row>
    <row r="62" spans="2:14" x14ac:dyDescent="0.2">
      <c r="C62" t="s">
        <v>21</v>
      </c>
      <c r="D62" t="s">
        <v>19</v>
      </c>
      <c r="E62" t="s">
        <v>20</v>
      </c>
    </row>
    <row r="63" spans="2:14" x14ac:dyDescent="0.2">
      <c r="B63" t="s">
        <v>29</v>
      </c>
      <c r="C63">
        <v>200</v>
      </c>
      <c r="D63">
        <v>0.52</v>
      </c>
      <c r="E63">
        <f>(D63/41199)*66430*C63</f>
        <v>167.69144882157335</v>
      </c>
    </row>
    <row r="64" spans="2:14" x14ac:dyDescent="0.2">
      <c r="B64" t="s">
        <v>30</v>
      </c>
      <c r="C64">
        <v>200</v>
      </c>
      <c r="D64">
        <v>0.51500000000000001</v>
      </c>
      <c r="E64">
        <f>(D64/41199)*66430*C64</f>
        <v>166.07903104444284</v>
      </c>
    </row>
    <row r="65" spans="2:14" x14ac:dyDescent="0.2">
      <c r="B65" t="s">
        <v>31</v>
      </c>
      <c r="C65">
        <v>200</v>
      </c>
      <c r="D65">
        <v>0.5</v>
      </c>
      <c r="E65">
        <f>(D65/41199)*66430*C65</f>
        <v>161.24177771305128</v>
      </c>
      <c r="I65" s="14"/>
      <c r="N65" s="14"/>
    </row>
    <row r="66" spans="2:14" x14ac:dyDescent="0.2">
      <c r="E66" s="14">
        <f>AVERAGE(E63:E65)</f>
        <v>165.00408585968918</v>
      </c>
      <c r="I66" s="14"/>
      <c r="N66" s="14"/>
    </row>
    <row r="67" spans="2:14" x14ac:dyDescent="0.2">
      <c r="E67" s="14">
        <f>_xlfn.STDEV.P(E63:E65)</f>
        <v>2.7405832365508047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3"/>
  <sheetViews>
    <sheetView topLeftCell="C1" workbookViewId="0">
      <selection activeCell="G23" sqref="G23:H23"/>
    </sheetView>
  </sheetViews>
  <sheetFormatPr baseColWidth="10" defaultColWidth="8.83203125" defaultRowHeight="15" x14ac:dyDescent="0.2"/>
  <cols>
    <col min="3" max="3" width="13.5" customWidth="1"/>
  </cols>
  <sheetData>
    <row r="2" spans="3:8" ht="16" x14ac:dyDescent="0.2">
      <c r="C2" s="1" t="s">
        <v>57</v>
      </c>
    </row>
    <row r="3" spans="3:8" x14ac:dyDescent="0.2">
      <c r="D3" s="14" t="s">
        <v>33</v>
      </c>
      <c r="E3" s="14"/>
      <c r="F3" s="14"/>
      <c r="G3" s="14" t="s">
        <v>34</v>
      </c>
      <c r="H3" s="14"/>
    </row>
    <row r="4" spans="3:8" x14ac:dyDescent="0.2">
      <c r="D4" s="14" t="s">
        <v>35</v>
      </c>
      <c r="E4" s="14" t="s">
        <v>36</v>
      </c>
      <c r="F4" s="14"/>
      <c r="G4" s="14" t="s">
        <v>35</v>
      </c>
      <c r="H4" s="14" t="s">
        <v>36</v>
      </c>
    </row>
    <row r="5" spans="3:8" x14ac:dyDescent="0.2">
      <c r="C5" t="s">
        <v>37</v>
      </c>
      <c r="D5">
        <v>215.95648761701338</v>
      </c>
      <c r="E5">
        <v>3.5063650805920461</v>
      </c>
      <c r="G5">
        <v>109.54267912361217</v>
      </c>
      <c r="H5">
        <v>1.9781457507625746</v>
      </c>
    </row>
    <row r="6" spans="3:8" x14ac:dyDescent="0.2">
      <c r="C6" t="s">
        <v>38</v>
      </c>
      <c r="D6">
        <v>202.84215636301852</v>
      </c>
      <c r="E6">
        <v>2.5392380546644517</v>
      </c>
      <c r="G6">
        <v>102.10851850238787</v>
      </c>
      <c r="H6">
        <v>1.8415335413718275</v>
      </c>
    </row>
    <row r="7" spans="3:8" x14ac:dyDescent="0.2">
      <c r="C7" t="s">
        <v>39</v>
      </c>
      <c r="D7">
        <v>198.64987014247922</v>
      </c>
      <c r="E7">
        <v>0.94936588161550584</v>
      </c>
      <c r="G7">
        <v>96.582043104684416</v>
      </c>
      <c r="H7">
        <v>4.2575787267192373</v>
      </c>
    </row>
    <row r="8" spans="3:8" x14ac:dyDescent="0.2">
      <c r="C8" t="s">
        <v>40</v>
      </c>
      <c r="D8">
        <v>191.12525384920343</v>
      </c>
      <c r="E8">
        <v>2.2393974707445281</v>
      </c>
      <c r="G8">
        <v>91.838375795511695</v>
      </c>
      <c r="H8">
        <v>4.0331964980521136</v>
      </c>
    </row>
    <row r="9" spans="3:8" x14ac:dyDescent="0.2">
      <c r="C9" t="s">
        <v>41</v>
      </c>
      <c r="D9">
        <v>177.25846096588108</v>
      </c>
      <c r="E9">
        <v>2.9595175618175227</v>
      </c>
      <c r="G9">
        <v>86.910380128671832</v>
      </c>
      <c r="H9">
        <v>2.6510060930462567</v>
      </c>
    </row>
    <row r="11" spans="3:8" x14ac:dyDescent="0.2">
      <c r="C11" t="s">
        <v>42</v>
      </c>
      <c r="D11">
        <v>6.5302919973785771</v>
      </c>
      <c r="E11">
        <v>0.69352710926192496</v>
      </c>
      <c r="G11">
        <v>192.39020916254222</v>
      </c>
      <c r="H11">
        <v>4.5194391226499953</v>
      </c>
    </row>
    <row r="12" spans="3:8" x14ac:dyDescent="0.2">
      <c r="C12" t="s">
        <v>43</v>
      </c>
      <c r="D12">
        <v>11.206303551057067</v>
      </c>
      <c r="E12">
        <v>2.6811749026010934</v>
      </c>
      <c r="G12">
        <v>177.37747178183793</v>
      </c>
      <c r="H12">
        <v>1.7522440679330329</v>
      </c>
    </row>
    <row r="13" spans="3:8" x14ac:dyDescent="0.2">
      <c r="C13" t="s">
        <v>44</v>
      </c>
      <c r="D13">
        <v>16.392914067493546</v>
      </c>
      <c r="E13">
        <v>3.5730812509722907</v>
      </c>
      <c r="G13">
        <v>163.35876917637916</v>
      </c>
      <c r="H13">
        <v>5.9299994506821276</v>
      </c>
    </row>
    <row r="14" spans="3:8" x14ac:dyDescent="0.2">
      <c r="C14" t="s">
        <v>45</v>
      </c>
      <c r="D14">
        <v>23.836909471912747</v>
      </c>
      <c r="E14">
        <v>1.9330342074160147</v>
      </c>
      <c r="G14">
        <v>149.74160308880502</v>
      </c>
      <c r="H14">
        <v>3.1645572125893859</v>
      </c>
    </row>
    <row r="15" spans="3:8" x14ac:dyDescent="0.2">
      <c r="C15" t="s">
        <v>46</v>
      </c>
      <c r="D15">
        <v>33.242679838507406</v>
      </c>
      <c r="E15">
        <v>1.7971206094414411</v>
      </c>
      <c r="G15">
        <v>127.57483368737114</v>
      </c>
      <c r="H15">
        <v>2.6767423161340411</v>
      </c>
    </row>
    <row r="17" spans="3:8" x14ac:dyDescent="0.2">
      <c r="C17" t="s">
        <v>47</v>
      </c>
      <c r="D17">
        <v>457.12043981650044</v>
      </c>
      <c r="E17">
        <v>10.859606795458815</v>
      </c>
      <c r="G17">
        <v>9.3527736877269501</v>
      </c>
      <c r="H17">
        <v>0.87599925450718519</v>
      </c>
    </row>
    <row r="18" spans="3:8" x14ac:dyDescent="0.2">
      <c r="C18" t="s">
        <v>48</v>
      </c>
      <c r="D18">
        <v>428.90312871671648</v>
      </c>
      <c r="E18">
        <v>1.8665085207222412</v>
      </c>
      <c r="G18">
        <v>12.559897369177291</v>
      </c>
      <c r="H18">
        <v>1.4325611957668081</v>
      </c>
    </row>
    <row r="19" spans="3:8" x14ac:dyDescent="0.2">
      <c r="C19" t="s">
        <v>49</v>
      </c>
      <c r="D19">
        <v>422.61469938590744</v>
      </c>
      <c r="E19">
        <v>2.5392380546644784</v>
      </c>
      <c r="G19">
        <v>13.795366237036754</v>
      </c>
      <c r="H19">
        <v>0.40477522996692228</v>
      </c>
    </row>
    <row r="20" spans="3:8" x14ac:dyDescent="0.2">
      <c r="C20" t="s">
        <v>50</v>
      </c>
      <c r="D20">
        <v>394.71987184154955</v>
      </c>
      <c r="E20">
        <v>18.53789642900994</v>
      </c>
      <c r="G20">
        <v>17.72093546763924</v>
      </c>
      <c r="H20">
        <v>0.46125373193017466</v>
      </c>
    </row>
    <row r="21" spans="3:8" x14ac:dyDescent="0.2">
      <c r="C21" t="s">
        <v>51</v>
      </c>
      <c r="D21">
        <v>356.18308696813028</v>
      </c>
      <c r="E21">
        <v>24.17443936810329</v>
      </c>
      <c r="G21">
        <v>22.657177260580738</v>
      </c>
      <c r="H21">
        <v>2.4982727311890076</v>
      </c>
    </row>
    <row r="23" spans="3:8" x14ac:dyDescent="0.2">
      <c r="C23" t="s">
        <v>16</v>
      </c>
      <c r="D23">
        <v>165.00408585968918</v>
      </c>
      <c r="E23">
        <v>2.7405832365508047</v>
      </c>
      <c r="G23">
        <v>79.359053857398592</v>
      </c>
      <c r="H23">
        <v>1.8879305246512625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1096-AB69-2D49-98FA-E36F2F331719}">
  <dimension ref="A1:P5"/>
  <sheetViews>
    <sheetView tabSelected="1" workbookViewId="0">
      <selection activeCell="B6" sqref="B6"/>
    </sheetView>
  </sheetViews>
  <sheetFormatPr baseColWidth="10" defaultRowHeight="15" x14ac:dyDescent="0.2"/>
  <sheetData>
    <row r="1" spans="1:16" x14ac:dyDescent="0.2">
      <c r="A1" s="16">
        <v>215.95648761701338</v>
      </c>
      <c r="B1" s="16">
        <v>3.5063650805920461</v>
      </c>
      <c r="C1" s="16">
        <v>6.5302919973785771</v>
      </c>
      <c r="D1" s="16">
        <v>0.69352710926192496</v>
      </c>
      <c r="E1" s="16">
        <v>457.12043981650044</v>
      </c>
      <c r="F1" s="16">
        <v>10.859606795458815</v>
      </c>
      <c r="G1" s="16">
        <v>109.54267912361217</v>
      </c>
      <c r="H1" s="16">
        <v>1.9781457507625746</v>
      </c>
      <c r="I1" s="16">
        <v>192.39020916254222</v>
      </c>
      <c r="J1" s="16">
        <v>4.5194391226499953</v>
      </c>
      <c r="K1" s="17">
        <v>9.3527740000000001</v>
      </c>
      <c r="L1" s="17">
        <v>0.87599899999999997</v>
      </c>
      <c r="M1" s="16">
        <v>165.00408585968918</v>
      </c>
      <c r="N1" s="16">
        <v>2.7405832365508047</v>
      </c>
      <c r="O1" s="16">
        <v>79.359053857398592</v>
      </c>
      <c r="P1" s="16">
        <v>1.8879305246512625</v>
      </c>
    </row>
    <row r="2" spans="1:16" x14ac:dyDescent="0.2">
      <c r="A2" s="16">
        <v>202.84215636301852</v>
      </c>
      <c r="B2" s="16">
        <v>2.5392380546644517</v>
      </c>
      <c r="C2" s="16">
        <v>11.206303551057067</v>
      </c>
      <c r="D2" s="16">
        <v>2.6811749026010934</v>
      </c>
      <c r="E2" s="16">
        <v>428.90312871671648</v>
      </c>
      <c r="F2" s="16">
        <v>1.8665085207222412</v>
      </c>
      <c r="G2" s="16">
        <v>102.10851850238787</v>
      </c>
      <c r="H2" s="16">
        <v>1.8415335413718275</v>
      </c>
      <c r="I2" s="16">
        <v>177.37747178183793</v>
      </c>
      <c r="J2" s="16">
        <v>1.7522440679330329</v>
      </c>
      <c r="K2" s="17">
        <v>12.559900000000001</v>
      </c>
      <c r="L2" s="17">
        <v>1.432561</v>
      </c>
      <c r="M2" s="16">
        <v>0</v>
      </c>
      <c r="N2" s="16">
        <v>0</v>
      </c>
      <c r="O2" s="16">
        <v>0</v>
      </c>
      <c r="P2" s="16">
        <v>0</v>
      </c>
    </row>
    <row r="3" spans="1:16" x14ac:dyDescent="0.2">
      <c r="A3" s="16">
        <v>198.64987014247922</v>
      </c>
      <c r="B3" s="16">
        <v>0.94936588161550584</v>
      </c>
      <c r="C3" s="16">
        <v>16.392914067493546</v>
      </c>
      <c r="D3" s="16">
        <v>3.5730812509722907</v>
      </c>
      <c r="E3" s="16">
        <v>422.61469938590744</v>
      </c>
      <c r="F3" s="16">
        <v>2.5392380546644784</v>
      </c>
      <c r="G3" s="16">
        <v>96.582043104684416</v>
      </c>
      <c r="H3" s="16">
        <v>4.2575787267192373</v>
      </c>
      <c r="I3" s="16">
        <v>163.35876917637916</v>
      </c>
      <c r="J3" s="16">
        <v>5.9299994506821276</v>
      </c>
      <c r="K3" s="17">
        <v>13.79537</v>
      </c>
      <c r="L3" s="17">
        <v>0.404775</v>
      </c>
      <c r="M3" s="16">
        <v>0</v>
      </c>
      <c r="N3" s="16">
        <v>0</v>
      </c>
      <c r="O3" s="16">
        <v>0</v>
      </c>
      <c r="P3" s="16">
        <v>0</v>
      </c>
    </row>
    <row r="4" spans="1:16" x14ac:dyDescent="0.2">
      <c r="A4" s="16">
        <v>191.12525384920343</v>
      </c>
      <c r="B4" s="16">
        <v>2.2393974707445281</v>
      </c>
      <c r="C4" s="16">
        <v>23.836909471912747</v>
      </c>
      <c r="D4" s="16">
        <v>1.9330342074160147</v>
      </c>
      <c r="E4" s="16">
        <v>394.71987184154955</v>
      </c>
      <c r="F4" s="16">
        <v>18.53789642900994</v>
      </c>
      <c r="G4" s="16">
        <v>91.838375795511695</v>
      </c>
      <c r="H4" s="16">
        <v>4.0331964980521136</v>
      </c>
      <c r="I4" s="16">
        <v>149.74160308880502</v>
      </c>
      <c r="J4" s="16">
        <v>3.1645572125893859</v>
      </c>
      <c r="K4" s="17">
        <v>17.720939999999999</v>
      </c>
      <c r="L4" s="17">
        <v>0.461254</v>
      </c>
      <c r="M4" s="16">
        <v>0</v>
      </c>
      <c r="N4" s="16">
        <v>0</v>
      </c>
      <c r="O4" s="16">
        <v>0</v>
      </c>
      <c r="P4" s="16">
        <v>0</v>
      </c>
    </row>
    <row r="5" spans="1:16" x14ac:dyDescent="0.2">
      <c r="A5" s="16">
        <v>177.25846096588108</v>
      </c>
      <c r="B5" s="16">
        <v>2.9595175618175227</v>
      </c>
      <c r="C5" s="16">
        <v>33.242679838507406</v>
      </c>
      <c r="D5" s="16">
        <v>1.7971206094414411</v>
      </c>
      <c r="E5" s="16">
        <v>356.18308696813028</v>
      </c>
      <c r="F5" s="16">
        <v>24.17443936810329</v>
      </c>
      <c r="G5" s="16">
        <v>86.910380128671832</v>
      </c>
      <c r="H5" s="16">
        <v>2.6510060930462567</v>
      </c>
      <c r="I5" s="16">
        <v>127.57483368737114</v>
      </c>
      <c r="J5" s="16">
        <v>2.6767423161340411</v>
      </c>
      <c r="K5" s="17">
        <v>22.65718</v>
      </c>
      <c r="L5" s="17">
        <v>2.4982730000000002</v>
      </c>
      <c r="M5" s="16">
        <v>0</v>
      </c>
      <c r="N5" s="16">
        <v>0</v>
      </c>
      <c r="O5" s="16">
        <v>0</v>
      </c>
      <c r="P5" s="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R1-PEG Conc</vt:lpstr>
      <vt:lpstr>R2-PEG Conc</vt:lpstr>
      <vt:lpstr>R3-PEG Conc</vt:lpstr>
      <vt:lpstr>BSA conc (3 replicates)</vt:lpstr>
      <vt:lpstr>Average and SD</vt:lpstr>
      <vt:lpstr>New_PEG-8K pH- 7, 200 mM Salt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2024-10-23T08:12:58Z</dcterms:created>
  <dcterms:modified xsi:type="dcterms:W3CDTF">2026-05-06T03:46:09Z</dcterms:modified>
</cp:coreProperties>
</file>