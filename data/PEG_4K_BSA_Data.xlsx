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bane/Library/CloudStorage/Dropbox/Progemine/Scripts/GFVT/data/"/>
    </mc:Choice>
  </mc:AlternateContent>
  <xr:revisionPtr revIDLastSave="0" documentId="13_ncr:1_{14816F7B-7D7D-914B-A6E7-57E77484C701}" xr6:coauthVersionLast="47" xr6:coauthVersionMax="47" xr10:uidLastSave="{00000000-0000-0000-0000-000000000000}"/>
  <bookViews>
    <workbookView xWindow="0" yWindow="600" windowWidth="33600" windowHeight="20400" activeTab="5" xr2:uid="{2254DE5E-D54F-4749-ACAA-1E56A2692683}"/>
  </bookViews>
  <sheets>
    <sheet name="R1-PEG Conc" sheetId="1" r:id="rId1"/>
    <sheet name="R2-PEG Conc" sheetId="4" r:id="rId2"/>
    <sheet name="R3-PEG Conc" sheetId="5" r:id="rId3"/>
    <sheet name="BSA conc (3 replicates)" sheetId="6" r:id="rId4"/>
    <sheet name="Average and SD" sheetId="7" r:id="rId5"/>
    <sheet name="New_PEG-4K pH- 7, 200 mM Sal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4" i="5" l="1"/>
  <c r="S27" i="5"/>
  <c r="S28" i="5"/>
  <c r="S29" i="5"/>
  <c r="S32" i="5"/>
  <c r="S33" i="5"/>
  <c r="S34" i="5"/>
  <c r="S35" i="5"/>
  <c r="S38" i="5"/>
  <c r="S39" i="5"/>
  <c r="S40" i="5"/>
  <c r="S41" i="5"/>
  <c r="S26" i="5"/>
  <c r="R27" i="5"/>
  <c r="R28" i="5"/>
  <c r="R29" i="5"/>
  <c r="R32" i="5"/>
  <c r="R33" i="5"/>
  <c r="R34" i="5"/>
  <c r="R35" i="5"/>
  <c r="R38" i="5"/>
  <c r="R39" i="5"/>
  <c r="R40" i="5"/>
  <c r="R41" i="5"/>
  <c r="R44" i="5"/>
  <c r="R26" i="5"/>
  <c r="J35" i="1"/>
  <c r="E53" i="6"/>
  <c r="E52" i="6"/>
  <c r="E51" i="6"/>
  <c r="N42" i="6"/>
  <c r="I42" i="6"/>
  <c r="E42" i="6"/>
  <c r="N41" i="6"/>
  <c r="I41" i="6"/>
  <c r="E41" i="6"/>
  <c r="N40" i="6"/>
  <c r="I40" i="6"/>
  <c r="E40" i="6"/>
  <c r="N30" i="6"/>
  <c r="I30" i="6"/>
  <c r="E30" i="6"/>
  <c r="N29" i="6"/>
  <c r="I29" i="6"/>
  <c r="E29" i="6"/>
  <c r="N28" i="6"/>
  <c r="I28" i="6"/>
  <c r="E28" i="6"/>
  <c r="N19" i="6"/>
  <c r="I19" i="6"/>
  <c r="E19" i="6"/>
  <c r="N18" i="6"/>
  <c r="I18" i="6"/>
  <c r="E18" i="6"/>
  <c r="N17" i="6"/>
  <c r="I17" i="6"/>
  <c r="E17" i="6"/>
  <c r="N8" i="6"/>
  <c r="I8" i="6"/>
  <c r="E8" i="6"/>
  <c r="N7" i="6"/>
  <c r="I7" i="6"/>
  <c r="E7" i="6"/>
  <c r="N6" i="6"/>
  <c r="I6" i="6"/>
  <c r="I9" i="6" s="1"/>
  <c r="E6" i="6"/>
  <c r="J57" i="5"/>
  <c r="L57" i="5" s="1"/>
  <c r="M57" i="5" s="1"/>
  <c r="G57" i="5"/>
  <c r="F57" i="5"/>
  <c r="E57" i="5"/>
  <c r="J44" i="5"/>
  <c r="L44" i="5" s="1"/>
  <c r="M44" i="5" s="1"/>
  <c r="G44" i="5"/>
  <c r="F44" i="5"/>
  <c r="E44" i="5"/>
  <c r="J43" i="5"/>
  <c r="L43" i="5" s="1"/>
  <c r="M43" i="5" s="1"/>
  <c r="G43" i="5"/>
  <c r="F43" i="5"/>
  <c r="E43" i="5"/>
  <c r="J42" i="5"/>
  <c r="G42" i="5"/>
  <c r="F42" i="5" s="1"/>
  <c r="J35" i="5"/>
  <c r="L35" i="5" s="1"/>
  <c r="M35" i="5" s="1"/>
  <c r="G35" i="5"/>
  <c r="F35" i="5"/>
  <c r="E35" i="5"/>
  <c r="J34" i="5"/>
  <c r="L34" i="5" s="1"/>
  <c r="M34" i="5" s="1"/>
  <c r="G34" i="5"/>
  <c r="F34" i="5"/>
  <c r="E34" i="5"/>
  <c r="J33" i="5"/>
  <c r="L33" i="5" s="1"/>
  <c r="M33" i="5" s="1"/>
  <c r="G33" i="5"/>
  <c r="F33" i="5"/>
  <c r="E33" i="5"/>
  <c r="J21" i="5"/>
  <c r="G21" i="5"/>
  <c r="F21" i="5" s="1"/>
  <c r="J20" i="5"/>
  <c r="L20" i="5" s="1"/>
  <c r="M20" i="5" s="1"/>
  <c r="G20" i="5"/>
  <c r="F20" i="5"/>
  <c r="E20" i="5"/>
  <c r="J19" i="5"/>
  <c r="L19" i="5" s="1"/>
  <c r="M19" i="5" s="1"/>
  <c r="G19" i="5"/>
  <c r="F19" i="5"/>
  <c r="E19" i="5"/>
  <c r="J8" i="5"/>
  <c r="L8" i="5" s="1"/>
  <c r="M8" i="5" s="1"/>
  <c r="G8" i="5"/>
  <c r="F8" i="5"/>
  <c r="E8" i="5"/>
  <c r="J7" i="5"/>
  <c r="G7" i="5"/>
  <c r="F7" i="5" s="1"/>
  <c r="J6" i="5"/>
  <c r="L6" i="5" s="1"/>
  <c r="M6" i="5" s="1"/>
  <c r="G6" i="5"/>
  <c r="F6" i="5"/>
  <c r="E6" i="5"/>
  <c r="C2" i="5"/>
  <c r="J47" i="4"/>
  <c r="G47" i="4"/>
  <c r="F47" i="4" s="1"/>
  <c r="J34" i="4"/>
  <c r="G34" i="4"/>
  <c r="F34" i="4"/>
  <c r="E34" i="4"/>
  <c r="J33" i="4"/>
  <c r="G33" i="4"/>
  <c r="F33" i="4" s="1"/>
  <c r="J32" i="4"/>
  <c r="G32" i="4"/>
  <c r="F32" i="4" s="1"/>
  <c r="J27" i="4"/>
  <c r="G27" i="4"/>
  <c r="F27" i="4" s="1"/>
  <c r="J26" i="4"/>
  <c r="G26" i="4"/>
  <c r="F26" i="4"/>
  <c r="J25" i="4"/>
  <c r="G25" i="4"/>
  <c r="F25" i="4" s="1"/>
  <c r="J18" i="4"/>
  <c r="G18" i="4"/>
  <c r="F18" i="4" s="1"/>
  <c r="J17" i="4"/>
  <c r="G17" i="4"/>
  <c r="F17" i="4"/>
  <c r="E17" i="4"/>
  <c r="J16" i="4"/>
  <c r="G16" i="4"/>
  <c r="F16" i="4" s="1"/>
  <c r="J10" i="4"/>
  <c r="G10" i="4"/>
  <c r="F10" i="4"/>
  <c r="E10" i="4"/>
  <c r="J9" i="4"/>
  <c r="G9" i="4"/>
  <c r="F9" i="4" s="1"/>
  <c r="J8" i="4"/>
  <c r="G8" i="4"/>
  <c r="F8" i="4"/>
  <c r="C2" i="4"/>
  <c r="E32" i="4" s="1"/>
  <c r="G35" i="1"/>
  <c r="F35" i="1" s="1"/>
  <c r="J34" i="1"/>
  <c r="G34" i="1"/>
  <c r="F34" i="1" s="1"/>
  <c r="E34" i="1"/>
  <c r="J33" i="1"/>
  <c r="G33" i="1"/>
  <c r="F33" i="1"/>
  <c r="J28" i="1"/>
  <c r="G28" i="1"/>
  <c r="F28" i="1" s="1"/>
  <c r="J27" i="1"/>
  <c r="G27" i="1"/>
  <c r="F27" i="1"/>
  <c r="J26" i="1"/>
  <c r="G26" i="1"/>
  <c r="E26" i="1" s="1"/>
  <c r="J19" i="1"/>
  <c r="G19" i="1"/>
  <c r="F19" i="1" s="1"/>
  <c r="J10" i="1"/>
  <c r="G10" i="1"/>
  <c r="F10" i="1" s="1"/>
  <c r="J49" i="1"/>
  <c r="G49" i="1"/>
  <c r="F49" i="1" s="1"/>
  <c r="J18" i="1"/>
  <c r="G18" i="1"/>
  <c r="F18" i="1" s="1"/>
  <c r="J17" i="1"/>
  <c r="G17" i="1"/>
  <c r="F17" i="1" s="1"/>
  <c r="J9" i="1"/>
  <c r="G9" i="1"/>
  <c r="F9" i="1" s="1"/>
  <c r="J8" i="1"/>
  <c r="G8" i="1"/>
  <c r="F8" i="1" s="1"/>
  <c r="C2" i="1"/>
  <c r="E27" i="1" s="1"/>
  <c r="N21" i="6" l="1"/>
  <c r="F26" i="1"/>
  <c r="L27" i="1"/>
  <c r="M27" i="1" s="1"/>
  <c r="E33" i="1"/>
  <c r="L33" i="1" s="1"/>
  <c r="M33" i="1" s="1"/>
  <c r="L10" i="4"/>
  <c r="M10" i="4" s="1"/>
  <c r="E47" i="4"/>
  <c r="E8" i="4"/>
  <c r="L8" i="4" s="1"/>
  <c r="M8" i="4" s="1"/>
  <c r="L34" i="4"/>
  <c r="M34" i="4" s="1"/>
  <c r="E16" i="4"/>
  <c r="L16" i="4" s="1"/>
  <c r="M16" i="4" s="1"/>
  <c r="E25" i="4"/>
  <c r="L25" i="4" s="1"/>
  <c r="M25" i="4" s="1"/>
  <c r="E27" i="4"/>
  <c r="L27" i="4" s="1"/>
  <c r="M27" i="4" s="1"/>
  <c r="E26" i="4"/>
  <c r="L26" i="4" s="1"/>
  <c r="M26" i="4" s="1"/>
  <c r="L17" i="4"/>
  <c r="M17" i="4" s="1"/>
  <c r="E33" i="4"/>
  <c r="L33" i="4" s="1"/>
  <c r="M33" i="4" s="1"/>
  <c r="L47" i="4"/>
  <c r="M47" i="4" s="1"/>
  <c r="E21" i="6"/>
  <c r="I21" i="6"/>
  <c r="N9" i="6"/>
  <c r="N20" i="6"/>
  <c r="I44" i="6"/>
  <c r="I10" i="6"/>
  <c r="E55" i="6"/>
  <c r="I32" i="6"/>
  <c r="N32" i="6"/>
  <c r="I43" i="6"/>
  <c r="N10" i="6"/>
  <c r="N44" i="6"/>
  <c r="E10" i="6"/>
  <c r="E31" i="6"/>
  <c r="E54" i="6"/>
  <c r="E43" i="6"/>
  <c r="E32" i="6"/>
  <c r="E20" i="6"/>
  <c r="I31" i="6"/>
  <c r="N43" i="6"/>
  <c r="E9" i="6"/>
  <c r="I20" i="6"/>
  <c r="N31" i="6"/>
  <c r="E44" i="6"/>
  <c r="E7" i="5"/>
  <c r="L7" i="5" s="1"/>
  <c r="M7" i="5" s="1"/>
  <c r="E21" i="5"/>
  <c r="L21" i="5" s="1"/>
  <c r="M21" i="5" s="1"/>
  <c r="E42" i="5"/>
  <c r="L42" i="5" s="1"/>
  <c r="M42" i="5" s="1"/>
  <c r="L32" i="4"/>
  <c r="M32" i="4" s="1"/>
  <c r="E9" i="4"/>
  <c r="L9" i="4" s="1"/>
  <c r="M9" i="4" s="1"/>
  <c r="E18" i="4"/>
  <c r="L18" i="4" s="1"/>
  <c r="M18" i="4" s="1"/>
  <c r="L34" i="1"/>
  <c r="M34" i="1" s="1"/>
  <c r="E35" i="1"/>
  <c r="L35" i="1" s="1"/>
  <c r="M35" i="1" s="1"/>
  <c r="L26" i="1"/>
  <c r="M26" i="1" s="1"/>
  <c r="E28" i="1"/>
  <c r="L28" i="1" s="1"/>
  <c r="M28" i="1" s="1"/>
  <c r="E19" i="1"/>
  <c r="L19" i="1" s="1"/>
  <c r="M19" i="1" s="1"/>
  <c r="E10" i="1"/>
  <c r="L10" i="1" s="1"/>
  <c r="M10" i="1" s="1"/>
  <c r="E18" i="1"/>
  <c r="L18" i="1" s="1"/>
  <c r="M18" i="1" s="1"/>
  <c r="E8" i="1"/>
  <c r="L8" i="1" s="1"/>
  <c r="M8" i="1" s="1"/>
  <c r="E9" i="1"/>
  <c r="L9" i="1" s="1"/>
  <c r="M9" i="1" s="1"/>
  <c r="E17" i="1"/>
  <c r="L17" i="1" s="1"/>
  <c r="M17" i="1" s="1"/>
  <c r="E49" i="1"/>
  <c r="L49" i="1"/>
  <c r="M49" i="1" s="1"/>
</calcChain>
</file>

<file path=xl/sharedStrings.xml><?xml version="1.0" encoding="utf-8"?>
<sst xmlns="http://schemas.openxmlformats.org/spreadsheetml/2006/main" count="351" uniqueCount="53">
  <si>
    <t>DMF Stock (mg/mL):</t>
  </si>
  <si>
    <t>DMF MW (g/mol)</t>
  </si>
  <si>
    <t>DMF Stock (mM)</t>
  </si>
  <si>
    <t>Mol. Factor</t>
  </si>
  <si>
    <r>
      <t>Sample (</t>
    </r>
    <r>
      <rPr>
        <sz val="12"/>
        <color theme="0"/>
        <rFont val="Calibri (Body)"/>
      </rPr>
      <t>µL)</t>
    </r>
  </si>
  <si>
    <t>D2O (µL)</t>
  </si>
  <si>
    <t>DMF Stock (µL)</t>
  </si>
  <si>
    <t>DMF 1 (mM)</t>
  </si>
  <si>
    <t>Dilution (X)</t>
  </si>
  <si>
    <t>Total (µL)</t>
  </si>
  <si>
    <t>PEG Peak</t>
  </si>
  <si>
    <t>DMF Peak</t>
  </si>
  <si>
    <t>PEG Intensity</t>
  </si>
  <si>
    <t>Prior Dilution</t>
  </si>
  <si>
    <t>PEG (g/L)</t>
  </si>
  <si>
    <t>PEG (% w/v)</t>
  </si>
  <si>
    <t>Critical point</t>
  </si>
  <si>
    <t xml:space="preserve">SUPERNATANT </t>
  </si>
  <si>
    <t xml:space="preserve">PELLET </t>
  </si>
  <si>
    <t>Absorbance</t>
  </si>
  <si>
    <t>Concentration (mg/ml)</t>
  </si>
  <si>
    <t>Dilution Factor</t>
  </si>
  <si>
    <t xml:space="preserve">MIXTURE </t>
  </si>
  <si>
    <t>CP</t>
  </si>
  <si>
    <t>S1</t>
  </si>
  <si>
    <t>S2</t>
  </si>
  <si>
    <t>Mix</t>
  </si>
  <si>
    <t>Sup</t>
  </si>
  <si>
    <t>Pel</t>
  </si>
  <si>
    <t>R1</t>
  </si>
  <si>
    <t>R2</t>
  </si>
  <si>
    <t>R3</t>
  </si>
  <si>
    <t xml:space="preserve"> S1</t>
  </si>
  <si>
    <t>BSA(mg/ml)</t>
  </si>
  <si>
    <t>PEG(mg/ml)</t>
  </si>
  <si>
    <t>Average</t>
  </si>
  <si>
    <t>SD</t>
  </si>
  <si>
    <t>Mix-S1</t>
  </si>
  <si>
    <t>Mix-S2</t>
  </si>
  <si>
    <t>Mix-S3</t>
  </si>
  <si>
    <t>Mix-S4</t>
  </si>
  <si>
    <t>Sup-S1</t>
  </si>
  <si>
    <t>Sup-S2</t>
  </si>
  <si>
    <t>Sup-S3</t>
  </si>
  <si>
    <t>Sup-S4</t>
  </si>
  <si>
    <t>Pellet-S1</t>
  </si>
  <si>
    <t>Pellet-S2</t>
  </si>
  <si>
    <t>Pellet-S3</t>
  </si>
  <si>
    <t>Pellet-S4</t>
  </si>
  <si>
    <t>Av</t>
  </si>
  <si>
    <t>S3</t>
  </si>
  <si>
    <t>S4</t>
  </si>
  <si>
    <t xml:space="preserve">PEG-4K, 200 mM salt, pH-7.0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</si>
</sst>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Calibri (Body)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2" borderId="0" applyNumberFormat="0" applyBorder="0" applyAlignment="0" applyProtection="0"/>
    <xf numFmtId="0" fontId="2" fillId="3" borderId="0" applyNumberFormat="0" applyBorder="0" applyAlignment="0" applyProtection="0"/>
  </cellStyleXfs>
  <cellXfs count="21">
    <xf numFmtId="0" fontId="0" fillId="0" borderId="0" xfId="0"/>
    <xf numFmtId="0" fontId="2" fillId="0" borderId="0" xfId="1"/>
    <xf numFmtId="1" fontId="2" fillId="0" borderId="0" xfId="1" applyNumberFormat="1"/>
    <xf numFmtId="0" fontId="3" fillId="4" borderId="0" xfId="1" applyFont="1" applyFill="1"/>
    <xf numFmtId="0" fontId="2" fillId="4" borderId="0" xfId="1" applyFill="1"/>
    <xf numFmtId="0" fontId="4" fillId="2" borderId="0" xfId="2"/>
    <xf numFmtId="0" fontId="0" fillId="3" borderId="0" xfId="3" applyFont="1"/>
    <xf numFmtId="0" fontId="2" fillId="3" borderId="0" xfId="3"/>
    <xf numFmtId="2" fontId="2" fillId="3" borderId="0" xfId="3" applyNumberFormat="1"/>
    <xf numFmtId="0" fontId="6" fillId="0" borderId="0" xfId="1" applyFont="1"/>
    <xf numFmtId="2" fontId="2" fillId="0" borderId="0" xfId="1" applyNumberFormat="1"/>
    <xf numFmtId="164" fontId="2" fillId="0" borderId="0" xfId="1" applyNumberFormat="1"/>
    <xf numFmtId="1" fontId="3" fillId="0" borderId="0" xfId="1" applyNumberFormat="1" applyFont="1"/>
    <xf numFmtId="165" fontId="2" fillId="0" borderId="0" xfId="1" applyNumberFormat="1"/>
    <xf numFmtId="0" fontId="1" fillId="0" borderId="0" xfId="0" applyFont="1"/>
    <xf numFmtId="0" fontId="3" fillId="0" borderId="0" xfId="1" applyFont="1"/>
    <xf numFmtId="0" fontId="4" fillId="0" borderId="0" xfId="2" applyFill="1"/>
    <xf numFmtId="0" fontId="0" fillId="0" borderId="0" xfId="3" applyFont="1" applyFill="1"/>
    <xf numFmtId="0" fontId="2" fillId="0" borderId="0" xfId="3" applyFill="1"/>
    <xf numFmtId="2" fontId="2" fillId="0" borderId="0" xfId="3" applyNumberFormat="1" applyFill="1"/>
    <xf numFmtId="164" fontId="0" fillId="0" borderId="0" xfId="0" applyNumberFormat="1"/>
  </cellXfs>
  <cellStyles count="4">
    <cellStyle name="20% - Accent1 2" xfId="3" xr:uid="{2773FFE7-F328-42C0-8214-98DEB97D2242}"/>
    <cellStyle name="Accent1 2" xfId="2" xr:uid="{FBDFB4DB-8517-4C8D-A005-CB136D29DF79}"/>
    <cellStyle name="Normal" xfId="0" builtinId="0"/>
    <cellStyle name="Normal 2" xfId="1" xr:uid="{B515AD66-42C1-4D41-9F36-9FB798705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3D6B-09F5-4B2D-8B75-BEFB6E291D09}">
  <dimension ref="A1:O49"/>
  <sheetViews>
    <sheetView topLeftCell="A11" zoomScale="63" workbookViewId="0">
      <selection activeCell="O7" sqref="O7:O22"/>
    </sheetView>
  </sheetViews>
  <sheetFormatPr baseColWidth="10" defaultColWidth="11.33203125" defaultRowHeight="16" x14ac:dyDescent="0.2"/>
  <cols>
    <col min="1" max="1" width="19.33203125" style="1" bestFit="1" customWidth="1"/>
    <col min="2" max="2" width="16.6640625" style="1" bestFit="1" customWidth="1"/>
    <col min="3" max="3" width="15.83203125" style="1" bestFit="1" customWidth="1"/>
    <col min="4" max="4" width="14.1640625" style="1" bestFit="1" customWidth="1"/>
    <col min="5" max="5" width="13.1640625" style="1" customWidth="1"/>
    <col min="6" max="6" width="10.83203125" style="1" bestFit="1" customWidth="1"/>
    <col min="7" max="8" width="9.33203125" style="1" bestFit="1" customWidth="1"/>
    <col min="9" max="9" width="9.83203125" style="1" bestFit="1" customWidth="1"/>
    <col min="10" max="10" width="12.6640625" style="1" bestFit="1" customWidth="1"/>
    <col min="11" max="11" width="12.5" style="1" bestFit="1" customWidth="1"/>
    <col min="12" max="12" width="10.6640625" style="1" customWidth="1"/>
    <col min="13" max="13" width="12.83203125" style="1" bestFit="1" customWidth="1"/>
    <col min="14" max="16384" width="11.3320312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5" x14ac:dyDescent="0.2">
      <c r="A2" s="1">
        <v>1000</v>
      </c>
      <c r="B2" s="1">
        <v>73.09</v>
      </c>
      <c r="C2" s="2">
        <f>1000*A2/B2</f>
        <v>13681.762210972773</v>
      </c>
      <c r="D2" s="1">
        <v>11.3</v>
      </c>
    </row>
    <row r="3" spans="1:15" x14ac:dyDescent="0.2">
      <c r="A3" s="1" t="s">
        <v>52</v>
      </c>
    </row>
    <row r="4" spans="1:15" x14ac:dyDescent="0.2">
      <c r="A4" s="14"/>
    </row>
    <row r="5" spans="1:15" x14ac:dyDescent="0.2">
      <c r="A5" s="14" t="s">
        <v>24</v>
      </c>
    </row>
    <row r="6" spans="1:15" x14ac:dyDescent="0.2">
      <c r="A6" s="3"/>
    </row>
    <row r="7" spans="1:15" x14ac:dyDescent="0.2">
      <c r="A7" s="5"/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O7" s="12">
        <v>110.95974616076008</v>
      </c>
    </row>
    <row r="8" spans="1:15" x14ac:dyDescent="0.2">
      <c r="A8" s="6" t="s">
        <v>26</v>
      </c>
      <c r="B8" s="7">
        <v>100</v>
      </c>
      <c r="C8" s="7">
        <v>400</v>
      </c>
      <c r="D8" s="7">
        <v>100</v>
      </c>
      <c r="E8" s="8">
        <f>D8*$C$2/G8</f>
        <v>2280.2937018287953</v>
      </c>
      <c r="F8" s="7">
        <f>G8/B8</f>
        <v>6</v>
      </c>
      <c r="G8" s="7">
        <f>SUM(B8:D8)</f>
        <v>600</v>
      </c>
      <c r="H8" s="9">
        <v>1</v>
      </c>
      <c r="I8" s="1">
        <v>8.36</v>
      </c>
      <c r="J8" s="10">
        <f>H8*6/I8</f>
        <v>0.71770334928229673</v>
      </c>
      <c r="K8" s="11">
        <v>1</v>
      </c>
      <c r="L8" s="12">
        <f>(J8*F8)*$D$2*(E8/1000)*K8</f>
        <v>110.95974616076008</v>
      </c>
      <c r="M8" s="13">
        <f>L8/10</f>
        <v>11.095974616076008</v>
      </c>
      <c r="O8" s="12">
        <v>108.36722872709744</v>
      </c>
    </row>
    <row r="9" spans="1:15" x14ac:dyDescent="0.2">
      <c r="A9" s="6" t="s">
        <v>27</v>
      </c>
      <c r="B9" s="7">
        <v>100</v>
      </c>
      <c r="C9" s="7">
        <v>400</v>
      </c>
      <c r="D9" s="7">
        <v>100</v>
      </c>
      <c r="E9" s="8">
        <f>D9*$C$2/G9</f>
        <v>2280.2937018287953</v>
      </c>
      <c r="F9" s="7">
        <f>G9/B9</f>
        <v>6</v>
      </c>
      <c r="G9" s="7">
        <f>SUM(B9:D9)</f>
        <v>600</v>
      </c>
      <c r="H9" s="9">
        <v>1</v>
      </c>
      <c r="I9" s="1">
        <v>4.08</v>
      </c>
      <c r="J9" s="10">
        <f>H9*6/I9</f>
        <v>1.4705882352941175</v>
      </c>
      <c r="K9" s="11">
        <v>1</v>
      </c>
      <c r="L9" s="12">
        <f>(J9*F9)*$D$2*(E9/1000)*K9</f>
        <v>227.35869556469459</v>
      </c>
      <c r="M9" s="13">
        <f>L9/10</f>
        <v>22.73586955646946</v>
      </c>
      <c r="O9" s="12">
        <v>105.65187675443669</v>
      </c>
    </row>
    <row r="10" spans="1:15" x14ac:dyDescent="0.2">
      <c r="A10" s="6" t="s">
        <v>28</v>
      </c>
      <c r="B10" s="7">
        <v>100</v>
      </c>
      <c r="C10" s="7">
        <v>400</v>
      </c>
      <c r="D10" s="7">
        <v>100</v>
      </c>
      <c r="E10" s="8">
        <f>D10*$C$2/G10</f>
        <v>2280.2937018287953</v>
      </c>
      <c r="F10" s="7">
        <f>G10/B10</f>
        <v>6</v>
      </c>
      <c r="G10" s="7">
        <f>SUM(B10:D10)</f>
        <v>600</v>
      </c>
      <c r="H10" s="9">
        <v>1</v>
      </c>
      <c r="I10" s="1">
        <v>44.23</v>
      </c>
      <c r="J10" s="10">
        <f>H10*6/I10</f>
        <v>0.13565453312231518</v>
      </c>
      <c r="K10" s="11">
        <v>1</v>
      </c>
      <c r="L10" s="12">
        <f>(J10*F10)*$D$2*(E10/1000)*K10</f>
        <v>20.972721634726526</v>
      </c>
      <c r="M10" s="13">
        <f>L10/10</f>
        <v>2.0972721634726526</v>
      </c>
      <c r="O10" s="12">
        <v>100.93835450532687</v>
      </c>
    </row>
    <row r="12" spans="1:15" x14ac:dyDescent="0.2">
      <c r="O12" s="12">
        <v>227.35869556469459</v>
      </c>
    </row>
    <row r="13" spans="1:15" x14ac:dyDescent="0.2">
      <c r="O13" s="12">
        <v>206.5976565487648</v>
      </c>
    </row>
    <row r="14" spans="1:15" x14ac:dyDescent="0.2">
      <c r="A14" s="14" t="s">
        <v>25</v>
      </c>
      <c r="O14" s="12">
        <v>189.31091385794977</v>
      </c>
    </row>
    <row r="15" spans="1:15" x14ac:dyDescent="0.2">
      <c r="A15" s="3"/>
      <c r="O15" s="12">
        <v>171.78212553776925</v>
      </c>
    </row>
    <row r="16" spans="1:15" x14ac:dyDescent="0.2">
      <c r="A16" s="5"/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</row>
    <row r="17" spans="1:15" x14ac:dyDescent="0.2">
      <c r="A17" s="6" t="s">
        <v>26</v>
      </c>
      <c r="B17" s="7">
        <v>100</v>
      </c>
      <c r="C17" s="7">
        <v>400</v>
      </c>
      <c r="D17" s="7">
        <v>100</v>
      </c>
      <c r="E17" s="8">
        <f>D17*$C$2/G17</f>
        <v>2280.2937018287953</v>
      </c>
      <c r="F17" s="7">
        <f>G17/B17</f>
        <v>6</v>
      </c>
      <c r="G17" s="7">
        <f>SUM(B17:D17)</f>
        <v>600</v>
      </c>
      <c r="H17" s="9">
        <v>1</v>
      </c>
      <c r="I17" s="1">
        <v>8.56</v>
      </c>
      <c r="J17" s="10">
        <f>H17*6/I17</f>
        <v>0.7009345794392523</v>
      </c>
      <c r="K17" s="11">
        <v>1</v>
      </c>
      <c r="L17" s="12">
        <f>(J17*F17)*$D$2*(E17/1000)*K17</f>
        <v>108.36722872709744</v>
      </c>
      <c r="M17" s="13">
        <f>L17/10</f>
        <v>10.836722872709744</v>
      </c>
      <c r="O17" s="12">
        <v>20.972721634726526</v>
      </c>
    </row>
    <row r="18" spans="1:15" x14ac:dyDescent="0.2">
      <c r="A18" s="6" t="s">
        <v>27</v>
      </c>
      <c r="B18" s="7">
        <v>100</v>
      </c>
      <c r="C18" s="7">
        <v>400</v>
      </c>
      <c r="D18" s="7">
        <v>100</v>
      </c>
      <c r="E18" s="8">
        <f>D18*$C$2/G18</f>
        <v>2280.2937018287953</v>
      </c>
      <c r="F18" s="7">
        <f>G18/B18</f>
        <v>6</v>
      </c>
      <c r="G18" s="7">
        <f>SUM(B18:D18)</f>
        <v>600</v>
      </c>
      <c r="H18" s="9">
        <v>1</v>
      </c>
      <c r="I18" s="1">
        <v>4.49</v>
      </c>
      <c r="J18" s="10">
        <f>H18*6/I18</f>
        <v>1.3363028953229399</v>
      </c>
      <c r="K18" s="11">
        <v>1</v>
      </c>
      <c r="L18" s="12">
        <f>(J18*F18)*$D$2*(E18/1000)*K18</f>
        <v>206.5976565487648</v>
      </c>
      <c r="M18" s="13">
        <f>L18/10</f>
        <v>20.65976565487648</v>
      </c>
      <c r="O18" s="12">
        <v>26.732665069278212</v>
      </c>
    </row>
    <row r="19" spans="1:15" x14ac:dyDescent="0.2">
      <c r="A19" s="6" t="s">
        <v>28</v>
      </c>
      <c r="B19" s="7">
        <v>100</v>
      </c>
      <c r="C19" s="7">
        <v>400</v>
      </c>
      <c r="D19" s="7">
        <v>100</v>
      </c>
      <c r="E19" s="8">
        <f>D19*$C$2/G19</f>
        <v>2280.2937018287953</v>
      </c>
      <c r="F19" s="7">
        <f>G19/B19</f>
        <v>6</v>
      </c>
      <c r="G19" s="7">
        <f>SUM(B19:D19)</f>
        <v>600</v>
      </c>
      <c r="H19" s="9">
        <v>1</v>
      </c>
      <c r="I19" s="1">
        <v>34.700000000000003</v>
      </c>
      <c r="J19" s="10">
        <f>H19*6/I19</f>
        <v>0.17291066282420747</v>
      </c>
      <c r="K19" s="11">
        <v>1</v>
      </c>
      <c r="L19" s="12">
        <f>(J19*F19)*$D$2*(E19/1000)*K19</f>
        <v>26.732665069278212</v>
      </c>
      <c r="M19" s="13">
        <f>L19/10</f>
        <v>2.6732665069278214</v>
      </c>
      <c r="O19" s="12">
        <v>33.153090704215657</v>
      </c>
    </row>
    <row r="20" spans="1:15" x14ac:dyDescent="0.2">
      <c r="O20" s="12">
        <v>39.12372323508874</v>
      </c>
    </row>
    <row r="22" spans="1:15" x14ac:dyDescent="0.2">
      <c r="O22" s="1">
        <v>99</v>
      </c>
    </row>
    <row r="23" spans="1:15" x14ac:dyDescent="0.2">
      <c r="A23" s="14" t="s">
        <v>50</v>
      </c>
    </row>
    <row r="24" spans="1:15" x14ac:dyDescent="0.2">
      <c r="A24" s="3"/>
    </row>
    <row r="25" spans="1:15" x14ac:dyDescent="0.2">
      <c r="A25" s="5"/>
      <c r="B25" s="5" t="s">
        <v>4</v>
      </c>
      <c r="C25" s="5" t="s">
        <v>5</v>
      </c>
      <c r="D25" s="5" t="s">
        <v>6</v>
      </c>
      <c r="E25" s="5" t="s">
        <v>7</v>
      </c>
      <c r="F25" s="5" t="s">
        <v>8</v>
      </c>
      <c r="G25" s="5" t="s">
        <v>9</v>
      </c>
      <c r="H25" s="5" t="s">
        <v>10</v>
      </c>
      <c r="I25" s="5" t="s">
        <v>11</v>
      </c>
      <c r="J25" s="5" t="s">
        <v>12</v>
      </c>
      <c r="K25" s="5" t="s">
        <v>13</v>
      </c>
      <c r="L25" s="5" t="s">
        <v>14</v>
      </c>
      <c r="M25" s="5" t="s">
        <v>15</v>
      </c>
    </row>
    <row r="26" spans="1:15" x14ac:dyDescent="0.2">
      <c r="A26" s="6" t="s">
        <v>26</v>
      </c>
      <c r="B26" s="7">
        <v>100</v>
      </c>
      <c r="C26" s="7">
        <v>400</v>
      </c>
      <c r="D26" s="7">
        <v>100</v>
      </c>
      <c r="E26" s="8">
        <f>D26*$C$2/G26</f>
        <v>2280.2937018287953</v>
      </c>
      <c r="F26" s="7">
        <f>G26/B26</f>
        <v>6</v>
      </c>
      <c r="G26" s="7">
        <f>SUM(B26:D26)</f>
        <v>600</v>
      </c>
      <c r="H26" s="9">
        <v>1</v>
      </c>
      <c r="I26" s="1">
        <v>8.7799999999999994</v>
      </c>
      <c r="J26" s="10">
        <f>H26*6/I26</f>
        <v>0.68337129840546706</v>
      </c>
      <c r="K26" s="11">
        <v>1</v>
      </c>
      <c r="L26" s="12">
        <f>(J26*F26)*$D$2*(E26/1000)*K26</f>
        <v>105.65187675443669</v>
      </c>
      <c r="M26" s="13">
        <f>L26/10</f>
        <v>10.565187675443669</v>
      </c>
    </row>
    <row r="27" spans="1:15" x14ac:dyDescent="0.2">
      <c r="A27" s="6" t="s">
        <v>27</v>
      </c>
      <c r="B27" s="7">
        <v>100</v>
      </c>
      <c r="C27" s="7">
        <v>400</v>
      </c>
      <c r="D27" s="7">
        <v>100</v>
      </c>
      <c r="E27" s="8">
        <f>D27*$C$2/G27</f>
        <v>2280.2937018287953</v>
      </c>
      <c r="F27" s="7">
        <f>G27/B27</f>
        <v>6</v>
      </c>
      <c r="G27" s="7">
        <f>SUM(B27:D27)</f>
        <v>600</v>
      </c>
      <c r="H27" s="9">
        <v>1</v>
      </c>
      <c r="I27" s="1">
        <v>4.9000000000000004</v>
      </c>
      <c r="J27" s="10">
        <f>H27*6/I27</f>
        <v>1.2244897959183672</v>
      </c>
      <c r="K27" s="11">
        <v>1</v>
      </c>
      <c r="L27" s="12">
        <f>(J27*F27)*$D$2*(E27/1000)*K27</f>
        <v>189.31091385794977</v>
      </c>
      <c r="M27" s="13">
        <f>L27/10</f>
        <v>18.931091385794979</v>
      </c>
    </row>
    <row r="28" spans="1:15" x14ac:dyDescent="0.2">
      <c r="A28" s="6" t="s">
        <v>28</v>
      </c>
      <c r="B28" s="7">
        <v>100</v>
      </c>
      <c r="C28" s="7">
        <v>400</v>
      </c>
      <c r="D28" s="7">
        <v>100</v>
      </c>
      <c r="E28" s="8">
        <f>D28*$C$2/G28</f>
        <v>2280.2937018287953</v>
      </c>
      <c r="F28" s="7">
        <f>G28/B28</f>
        <v>6</v>
      </c>
      <c r="G28" s="7">
        <f>SUM(B28:D28)</f>
        <v>600</v>
      </c>
      <c r="H28" s="9">
        <v>1</v>
      </c>
      <c r="I28" s="1">
        <v>27.98</v>
      </c>
      <c r="J28" s="10">
        <f>H28*6/I28</f>
        <v>0.21443888491779842</v>
      </c>
      <c r="K28" s="11">
        <v>1</v>
      </c>
      <c r="L28" s="12">
        <f>(J28*F28)*$D$2*(E28/1000)*K28</f>
        <v>33.153090704215657</v>
      </c>
      <c r="M28" s="13">
        <f>L28/10</f>
        <v>3.3153090704215655</v>
      </c>
    </row>
    <row r="30" spans="1:15" x14ac:dyDescent="0.2">
      <c r="A30" s="14" t="s">
        <v>51</v>
      </c>
    </row>
    <row r="31" spans="1:15" x14ac:dyDescent="0.2">
      <c r="A31" s="3"/>
    </row>
    <row r="32" spans="1:15" x14ac:dyDescent="0.2">
      <c r="A32" s="5"/>
      <c r="B32" s="5" t="s">
        <v>4</v>
      </c>
      <c r="C32" s="5" t="s">
        <v>5</v>
      </c>
      <c r="D32" s="5" t="s">
        <v>6</v>
      </c>
      <c r="E32" s="5" t="s">
        <v>7</v>
      </c>
      <c r="F32" s="5" t="s">
        <v>8</v>
      </c>
      <c r="G32" s="5" t="s">
        <v>9</v>
      </c>
      <c r="H32" s="5" t="s">
        <v>10</v>
      </c>
      <c r="I32" s="5" t="s">
        <v>11</v>
      </c>
      <c r="J32" s="5" t="s">
        <v>12</v>
      </c>
      <c r="K32" s="5" t="s">
        <v>13</v>
      </c>
      <c r="L32" s="5" t="s">
        <v>14</v>
      </c>
      <c r="M32" s="5" t="s">
        <v>15</v>
      </c>
    </row>
    <row r="33" spans="1:13" x14ac:dyDescent="0.2">
      <c r="A33" s="6" t="s">
        <v>26</v>
      </c>
      <c r="B33" s="7">
        <v>100</v>
      </c>
      <c r="C33" s="7">
        <v>400</v>
      </c>
      <c r="D33" s="7">
        <v>100</v>
      </c>
      <c r="E33" s="8">
        <f>D33*$C$2/G33</f>
        <v>2280.2937018287953</v>
      </c>
      <c r="F33" s="7">
        <f>G33/B33</f>
        <v>6</v>
      </c>
      <c r="G33" s="7">
        <f>SUM(B33:D33)</f>
        <v>600</v>
      </c>
      <c r="H33" s="9">
        <v>1</v>
      </c>
      <c r="I33" s="1">
        <v>9.19</v>
      </c>
      <c r="J33" s="10">
        <f>H33*6/I33</f>
        <v>0.65288356909684442</v>
      </c>
      <c r="K33" s="11">
        <v>1</v>
      </c>
      <c r="L33" s="12">
        <f>(J33*F33)*$D$2*(E33/1000)*K33</f>
        <v>100.93835450532687</v>
      </c>
      <c r="M33" s="13">
        <f>L33/10</f>
        <v>10.093835450532687</v>
      </c>
    </row>
    <row r="34" spans="1:13" x14ac:dyDescent="0.2">
      <c r="A34" s="6" t="s">
        <v>27</v>
      </c>
      <c r="B34" s="7">
        <v>100</v>
      </c>
      <c r="C34" s="7">
        <v>400</v>
      </c>
      <c r="D34" s="7">
        <v>100</v>
      </c>
      <c r="E34" s="8">
        <f>D34*$C$2/G34</f>
        <v>2280.2937018287953</v>
      </c>
      <c r="F34" s="7">
        <f>G34/B34</f>
        <v>6</v>
      </c>
      <c r="G34" s="7">
        <f>SUM(B34:D34)</f>
        <v>600</v>
      </c>
      <c r="H34" s="9">
        <v>1</v>
      </c>
      <c r="I34" s="1">
        <v>5.4</v>
      </c>
      <c r="J34" s="10">
        <f>H34*6/I34</f>
        <v>1.1111111111111109</v>
      </c>
      <c r="K34" s="11">
        <v>1</v>
      </c>
      <c r="L34" s="12">
        <f>(J34*F34)*$D$2*(E34/1000)*K34</f>
        <v>171.78212553776925</v>
      </c>
      <c r="M34" s="13">
        <f>L34/10</f>
        <v>17.178212553776923</v>
      </c>
    </row>
    <row r="35" spans="1:13" x14ac:dyDescent="0.2">
      <c r="A35" s="6" t="s">
        <v>28</v>
      </c>
      <c r="B35" s="7">
        <v>100</v>
      </c>
      <c r="C35" s="7">
        <v>400</v>
      </c>
      <c r="D35" s="7">
        <v>100</v>
      </c>
      <c r="E35" s="8">
        <f>D35*$C$2/G35</f>
        <v>2280.2937018287953</v>
      </c>
      <c r="F35" s="7">
        <f>G35/B35</f>
        <v>6</v>
      </c>
      <c r="G35" s="7">
        <f>SUM(B35:D35)</f>
        <v>600</v>
      </c>
      <c r="H35" s="9">
        <v>1</v>
      </c>
      <c r="I35" s="1">
        <v>23.71</v>
      </c>
      <c r="J35" s="10">
        <f>H35*6/I35</f>
        <v>0.25305778152678193</v>
      </c>
      <c r="K35" s="11">
        <v>1</v>
      </c>
      <c r="L35" s="12">
        <f>(J35*F35)*$D$2*(E35/1000)*K35</f>
        <v>39.12372323508874</v>
      </c>
      <c r="M35" s="13">
        <f>L35/10</f>
        <v>3.9123723235088739</v>
      </c>
    </row>
    <row r="38" spans="1:13" x14ac:dyDescent="0.2">
      <c r="A38" s="14"/>
    </row>
    <row r="39" spans="1:13" x14ac:dyDescent="0.2">
      <c r="A39" s="15"/>
    </row>
    <row r="40" spans="1:13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 spans="1:13" x14ac:dyDescent="0.2">
      <c r="A41" s="17"/>
      <c r="B41" s="18"/>
      <c r="C41" s="18"/>
      <c r="D41" s="18"/>
      <c r="E41" s="19"/>
      <c r="F41" s="18"/>
      <c r="G41" s="18"/>
      <c r="H41" s="9"/>
      <c r="J41" s="10"/>
      <c r="K41" s="11"/>
      <c r="L41" s="12"/>
      <c r="M41" s="13"/>
    </row>
    <row r="42" spans="1:13" x14ac:dyDescent="0.2">
      <c r="A42" s="17"/>
      <c r="B42" s="18"/>
      <c r="C42" s="18"/>
      <c r="D42" s="18"/>
      <c r="E42" s="19"/>
      <c r="F42" s="18"/>
      <c r="G42" s="18"/>
      <c r="H42" s="9"/>
      <c r="J42" s="10"/>
      <c r="K42" s="11"/>
      <c r="L42" s="12"/>
      <c r="M42" s="13"/>
    </row>
    <row r="43" spans="1:13" x14ac:dyDescent="0.2">
      <c r="A43" s="17"/>
      <c r="B43" s="18"/>
      <c r="C43" s="18"/>
      <c r="D43" s="18"/>
      <c r="E43" s="19"/>
      <c r="F43" s="18"/>
      <c r="G43" s="18"/>
      <c r="H43" s="9"/>
      <c r="J43" s="10"/>
      <c r="K43" s="11"/>
      <c r="L43" s="12"/>
      <c r="M43" s="13"/>
    </row>
    <row r="47" spans="1:13" x14ac:dyDescent="0.2">
      <c r="A47" s="3" t="s">
        <v>16</v>
      </c>
    </row>
    <row r="48" spans="1:13" x14ac:dyDescent="0.2">
      <c r="A48" s="5"/>
      <c r="B48" s="5" t="s">
        <v>4</v>
      </c>
      <c r="C48" s="5" t="s">
        <v>5</v>
      </c>
      <c r="D48" s="5" t="s">
        <v>6</v>
      </c>
      <c r="E48" s="5" t="s">
        <v>7</v>
      </c>
      <c r="F48" s="5" t="s">
        <v>8</v>
      </c>
      <c r="G48" s="5" t="s">
        <v>9</v>
      </c>
      <c r="H48" s="5" t="s">
        <v>10</v>
      </c>
      <c r="I48" s="5" t="s">
        <v>11</v>
      </c>
      <c r="J48" s="5" t="s">
        <v>12</v>
      </c>
      <c r="K48" s="5" t="s">
        <v>13</v>
      </c>
      <c r="L48" s="5" t="s">
        <v>14</v>
      </c>
      <c r="M48" s="5" t="s">
        <v>15</v>
      </c>
    </row>
    <row r="49" spans="1:13" x14ac:dyDescent="0.2">
      <c r="A49" s="1" t="s">
        <v>52</v>
      </c>
      <c r="B49" s="7">
        <v>100</v>
      </c>
      <c r="C49" s="7">
        <v>400</v>
      </c>
      <c r="D49" s="7">
        <v>100</v>
      </c>
      <c r="E49" s="8">
        <f>D49*$C$2/G49</f>
        <v>2280.2937018287953</v>
      </c>
      <c r="F49" s="7">
        <f>G49/B49</f>
        <v>6</v>
      </c>
      <c r="G49" s="7">
        <f>SUM(B49:D49)</f>
        <v>600</v>
      </c>
      <c r="H49" s="9">
        <v>1</v>
      </c>
      <c r="I49" s="1">
        <v>9.34</v>
      </c>
      <c r="J49" s="10">
        <f>H49*6/I49</f>
        <v>0.64239828693790146</v>
      </c>
      <c r="K49" s="11">
        <v>1</v>
      </c>
      <c r="L49" s="12">
        <f>(J49*F49)*$D$2*(E49/1000)*K49</f>
        <v>99.317288854813071</v>
      </c>
      <c r="M49" s="13">
        <f>L49/10</f>
        <v>9.9317288854813075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E9E6-F09B-480A-9997-0A0733A30F85}">
  <dimension ref="A1:O47"/>
  <sheetViews>
    <sheetView topLeftCell="A2" zoomScale="63" workbookViewId="0">
      <selection activeCell="Q19" sqref="Q19"/>
    </sheetView>
  </sheetViews>
  <sheetFormatPr baseColWidth="10" defaultColWidth="11.33203125" defaultRowHeight="16" x14ac:dyDescent="0.2"/>
  <cols>
    <col min="1" max="1" width="19.33203125" style="1" bestFit="1" customWidth="1"/>
    <col min="2" max="2" width="16.6640625" style="1" bestFit="1" customWidth="1"/>
    <col min="3" max="3" width="15.83203125" style="1" bestFit="1" customWidth="1"/>
    <col min="4" max="4" width="14.1640625" style="1" bestFit="1" customWidth="1"/>
    <col min="5" max="5" width="13.1640625" style="1" customWidth="1"/>
    <col min="6" max="6" width="10.83203125" style="1" bestFit="1" customWidth="1"/>
    <col min="7" max="8" width="9.33203125" style="1" bestFit="1" customWidth="1"/>
    <col min="9" max="9" width="9.83203125" style="1" bestFit="1" customWidth="1"/>
    <col min="10" max="10" width="12.6640625" style="1" bestFit="1" customWidth="1"/>
    <col min="11" max="11" width="12.5" style="1" bestFit="1" customWidth="1"/>
    <col min="12" max="12" width="10.6640625" style="1" customWidth="1"/>
    <col min="13" max="13" width="12.83203125" style="1" bestFit="1" customWidth="1"/>
    <col min="14" max="16384" width="11.3320312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5" x14ac:dyDescent="0.2">
      <c r="A2" s="1">
        <v>1000</v>
      </c>
      <c r="B2" s="1">
        <v>73.09</v>
      </c>
      <c r="C2" s="2">
        <f>1000*A2/B2</f>
        <v>13681.762210972773</v>
      </c>
      <c r="D2" s="1">
        <v>11.3</v>
      </c>
    </row>
    <row r="3" spans="1:15" x14ac:dyDescent="0.2">
      <c r="A3" s="1" t="s">
        <v>52</v>
      </c>
    </row>
    <row r="4" spans="1:15" x14ac:dyDescent="0.2">
      <c r="A4" s="14"/>
    </row>
    <row r="5" spans="1:15" x14ac:dyDescent="0.2">
      <c r="A5" s="14" t="s">
        <v>24</v>
      </c>
    </row>
    <row r="6" spans="1:15" x14ac:dyDescent="0.2">
      <c r="A6" s="3"/>
    </row>
    <row r="7" spans="1:15" x14ac:dyDescent="0.2">
      <c r="A7" s="5"/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O7" s="12">
        <v>113.67934778234729</v>
      </c>
    </row>
    <row r="8" spans="1:15" x14ac:dyDescent="0.2">
      <c r="A8" s="6" t="s">
        <v>26</v>
      </c>
      <c r="B8" s="7">
        <v>100</v>
      </c>
      <c r="C8" s="7">
        <v>400</v>
      </c>
      <c r="D8" s="7">
        <v>100</v>
      </c>
      <c r="E8" s="8">
        <f>D8*$C$2/G8</f>
        <v>2280.2937018287953</v>
      </c>
      <c r="F8" s="7">
        <f>G8/B8</f>
        <v>6</v>
      </c>
      <c r="G8" s="7">
        <f>SUM(B8:D8)</f>
        <v>600</v>
      </c>
      <c r="H8" s="9">
        <v>1</v>
      </c>
      <c r="I8" s="1">
        <v>8.16</v>
      </c>
      <c r="J8" s="10">
        <f>H8*6/I8</f>
        <v>0.73529411764705876</v>
      </c>
      <c r="K8" s="11">
        <v>1</v>
      </c>
      <c r="L8" s="12">
        <f>(J8*F8)*$D$2*(E8/1000)*K8</f>
        <v>113.67934778234729</v>
      </c>
      <c r="M8" s="13">
        <f>L8/10</f>
        <v>11.36793477823473</v>
      </c>
      <c r="O8" s="12">
        <v>109.13217387105341</v>
      </c>
    </row>
    <row r="9" spans="1:15" x14ac:dyDescent="0.2">
      <c r="A9" s="6" t="s">
        <v>27</v>
      </c>
      <c r="B9" s="7">
        <v>100</v>
      </c>
      <c r="C9" s="7">
        <v>400</v>
      </c>
      <c r="D9" s="7">
        <v>100</v>
      </c>
      <c r="E9" s="8">
        <f>D9*$C$2/G9</f>
        <v>2280.2937018287953</v>
      </c>
      <c r="F9" s="7">
        <f>G9/B9</f>
        <v>6</v>
      </c>
      <c r="G9" s="7">
        <f>SUM(B9:D9)</f>
        <v>600</v>
      </c>
      <c r="H9" s="9">
        <v>1</v>
      </c>
      <c r="I9" s="1">
        <v>4.1100000000000003</v>
      </c>
      <c r="J9" s="10">
        <f>H9*6/I9</f>
        <v>1.4598540145985401</v>
      </c>
      <c r="K9" s="11">
        <v>1</v>
      </c>
      <c r="L9" s="12">
        <f>(J9*F9)*$D$2*(E9/1000)*K9</f>
        <v>225.69914304232458</v>
      </c>
      <c r="M9" s="13">
        <f>L9/10</f>
        <v>22.569914304232459</v>
      </c>
      <c r="O9" s="12">
        <v>101.37961507147038</v>
      </c>
    </row>
    <row r="10" spans="1:15" x14ac:dyDescent="0.2">
      <c r="A10" s="6" t="s">
        <v>28</v>
      </c>
      <c r="B10" s="7">
        <v>100</v>
      </c>
      <c r="C10" s="7">
        <v>400</v>
      </c>
      <c r="D10" s="7">
        <v>100</v>
      </c>
      <c r="E10" s="8">
        <f>D10*$C$2/G10</f>
        <v>2280.2937018287953</v>
      </c>
      <c r="F10" s="7">
        <f>G10/B10</f>
        <v>6</v>
      </c>
      <c r="G10" s="7">
        <f>SUM(B10:D10)</f>
        <v>600</v>
      </c>
      <c r="H10" s="9">
        <v>1</v>
      </c>
      <c r="I10" s="1">
        <v>41.04</v>
      </c>
      <c r="J10" s="10">
        <f>H10*6/I10</f>
        <v>0.14619883040935672</v>
      </c>
      <c r="K10" s="11">
        <v>1</v>
      </c>
      <c r="L10" s="12">
        <f>(J10*F10)*$D$2*(E10/1000)*K10</f>
        <v>22.602911254969637</v>
      </c>
      <c r="M10" s="13">
        <f>L10/10</f>
        <v>2.2602911254969635</v>
      </c>
      <c r="O10" s="12">
        <v>96.62744561499521</v>
      </c>
    </row>
    <row r="12" spans="1:15" x14ac:dyDescent="0.2">
      <c r="O12" s="12">
        <v>225.69914304232458</v>
      </c>
    </row>
    <row r="13" spans="1:15" x14ac:dyDescent="0.2">
      <c r="A13" s="14" t="s">
        <v>25</v>
      </c>
      <c r="O13" s="12">
        <v>203.42620129472675</v>
      </c>
    </row>
    <row r="14" spans="1:15" x14ac:dyDescent="0.2">
      <c r="A14" s="3"/>
      <c r="O14" s="12">
        <v>192.85311390934595</v>
      </c>
    </row>
    <row r="15" spans="1:15" x14ac:dyDescent="0.2">
      <c r="A15" s="5"/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O15" s="12">
        <v>169.58381680145416</v>
      </c>
    </row>
    <row r="16" spans="1:15" x14ac:dyDescent="0.2">
      <c r="A16" s="6" t="s">
        <v>26</v>
      </c>
      <c r="B16" s="7">
        <v>100</v>
      </c>
      <c r="C16" s="7">
        <v>400</v>
      </c>
      <c r="D16" s="7">
        <v>100</v>
      </c>
      <c r="E16" s="8">
        <f>D16*$C$2/G16</f>
        <v>2280.2937018287953</v>
      </c>
      <c r="F16" s="7">
        <f>G16/B16</f>
        <v>6</v>
      </c>
      <c r="G16" s="7">
        <f>SUM(B16:D16)</f>
        <v>600</v>
      </c>
      <c r="H16" s="9">
        <v>1</v>
      </c>
      <c r="I16" s="1">
        <v>8.5</v>
      </c>
      <c r="J16" s="10">
        <f>H16*6/I16</f>
        <v>0.70588235294117652</v>
      </c>
      <c r="K16" s="11">
        <v>1</v>
      </c>
      <c r="L16" s="12">
        <f>(J16*F16)*$D$2*(E16/1000)*K16</f>
        <v>109.13217387105341</v>
      </c>
      <c r="M16" s="13">
        <f>L16/10</f>
        <v>10.913217387105341</v>
      </c>
    </row>
    <row r="17" spans="1:15" x14ac:dyDescent="0.2">
      <c r="A17" s="6" t="s">
        <v>27</v>
      </c>
      <c r="B17" s="7">
        <v>100</v>
      </c>
      <c r="C17" s="7">
        <v>400</v>
      </c>
      <c r="D17" s="7">
        <v>100</v>
      </c>
      <c r="E17" s="8">
        <f>D17*$C$2/G17</f>
        <v>2280.2937018287953</v>
      </c>
      <c r="F17" s="7">
        <f>G17/B17</f>
        <v>6</v>
      </c>
      <c r="G17" s="7">
        <f>SUM(B17:D17)</f>
        <v>600</v>
      </c>
      <c r="H17" s="9">
        <v>1</v>
      </c>
      <c r="I17" s="1">
        <v>4.5599999999999996</v>
      </c>
      <c r="J17" s="10">
        <f>H17*6/I17</f>
        <v>1.3157894736842106</v>
      </c>
      <c r="K17" s="11">
        <v>1</v>
      </c>
      <c r="L17" s="12">
        <f>(J17*F17)*$D$2*(E17/1000)*K17</f>
        <v>203.42620129472675</v>
      </c>
      <c r="M17" s="13">
        <f>L17/10</f>
        <v>20.342620129472675</v>
      </c>
      <c r="O17" s="12">
        <v>22.602911254969637</v>
      </c>
    </row>
    <row r="18" spans="1:15" x14ac:dyDescent="0.2">
      <c r="A18" s="6" t="s">
        <v>28</v>
      </c>
      <c r="B18" s="7">
        <v>100</v>
      </c>
      <c r="C18" s="7">
        <v>400</v>
      </c>
      <c r="D18" s="7">
        <v>100</v>
      </c>
      <c r="E18" s="8">
        <f>D18*$C$2/G18</f>
        <v>2280.2937018287953</v>
      </c>
      <c r="F18" s="7">
        <f>G18/B18</f>
        <v>6</v>
      </c>
      <c r="G18" s="7">
        <f>SUM(B18:D18)</f>
        <v>600</v>
      </c>
      <c r="H18" s="9">
        <v>1</v>
      </c>
      <c r="I18" s="1">
        <v>35.979999999999997</v>
      </c>
      <c r="J18" s="10">
        <f>H18*6/I18</f>
        <v>0.16675931072818234</v>
      </c>
      <c r="K18" s="11">
        <v>1</v>
      </c>
      <c r="L18" s="12">
        <f>(J18*F18)*$D$2*(E18/1000)*K18</f>
        <v>25.78164196509044</v>
      </c>
      <c r="M18" s="13">
        <f>L18/10</f>
        <v>2.5781641965090438</v>
      </c>
      <c r="O18" s="12">
        <v>26</v>
      </c>
    </row>
    <row r="19" spans="1:15" x14ac:dyDescent="0.2">
      <c r="O19" s="12">
        <v>32.548192207156276</v>
      </c>
    </row>
    <row r="20" spans="1:15" x14ac:dyDescent="0.2">
      <c r="O20" s="12">
        <v>42.551535683667616</v>
      </c>
    </row>
    <row r="22" spans="1:15" x14ac:dyDescent="0.2">
      <c r="A22" s="14" t="s">
        <v>50</v>
      </c>
      <c r="O22" s="12">
        <v>98</v>
      </c>
    </row>
    <row r="23" spans="1:15" x14ac:dyDescent="0.2">
      <c r="A23" s="3"/>
    </row>
    <row r="24" spans="1:15" x14ac:dyDescent="0.2">
      <c r="A24" s="5"/>
      <c r="B24" s="5" t="s">
        <v>4</v>
      </c>
      <c r="C24" s="5" t="s">
        <v>5</v>
      </c>
      <c r="D24" s="5" t="s">
        <v>6</v>
      </c>
      <c r="E24" s="5" t="s">
        <v>7</v>
      </c>
      <c r="F24" s="5" t="s">
        <v>8</v>
      </c>
      <c r="G24" s="5" t="s">
        <v>9</v>
      </c>
      <c r="H24" s="5" t="s">
        <v>10</v>
      </c>
      <c r="I24" s="5" t="s">
        <v>11</v>
      </c>
      <c r="J24" s="5" t="s">
        <v>12</v>
      </c>
      <c r="K24" s="5" t="s">
        <v>13</v>
      </c>
      <c r="L24" s="5" t="s">
        <v>14</v>
      </c>
      <c r="M24" s="5" t="s">
        <v>15</v>
      </c>
    </row>
    <row r="25" spans="1:15" x14ac:dyDescent="0.2">
      <c r="A25" s="6" t="s">
        <v>26</v>
      </c>
      <c r="B25" s="7">
        <v>100</v>
      </c>
      <c r="C25" s="7">
        <v>400</v>
      </c>
      <c r="D25" s="7">
        <v>100</v>
      </c>
      <c r="E25" s="8">
        <f>D25*$C$2/G25</f>
        <v>2280.2937018287953</v>
      </c>
      <c r="F25" s="7">
        <f>G25/B25</f>
        <v>6</v>
      </c>
      <c r="G25" s="7">
        <f>SUM(B25:D25)</f>
        <v>600</v>
      </c>
      <c r="H25" s="9">
        <v>1</v>
      </c>
      <c r="I25" s="1">
        <v>9.15</v>
      </c>
      <c r="J25" s="10">
        <f>H25*6/I25</f>
        <v>0.65573770491803274</v>
      </c>
      <c r="K25" s="11">
        <v>1</v>
      </c>
      <c r="L25" s="12">
        <f>(J25*F25)*$D$2*(E25/1000)*K25</f>
        <v>101.37961507147038</v>
      </c>
      <c r="M25" s="13">
        <f>L25/10</f>
        <v>10.137961507147038</v>
      </c>
    </row>
    <row r="26" spans="1:15" x14ac:dyDescent="0.2">
      <c r="A26" s="6" t="s">
        <v>27</v>
      </c>
      <c r="B26" s="7">
        <v>100</v>
      </c>
      <c r="C26" s="7">
        <v>400</v>
      </c>
      <c r="D26" s="7">
        <v>100</v>
      </c>
      <c r="E26" s="8">
        <f>D26*$C$2/G26</f>
        <v>2280.2937018287953</v>
      </c>
      <c r="F26" s="7">
        <f>G26/B26</f>
        <v>6</v>
      </c>
      <c r="G26" s="7">
        <f>SUM(B26:D26)</f>
        <v>600</v>
      </c>
      <c r="H26" s="9">
        <v>1</v>
      </c>
      <c r="I26" s="1">
        <v>4.8099999999999996</v>
      </c>
      <c r="J26" s="10">
        <f>H26*6/I26</f>
        <v>1.2474012474012475</v>
      </c>
      <c r="K26" s="11">
        <v>1</v>
      </c>
      <c r="L26" s="12">
        <f>(J26*F26)*$D$2*(E26/1000)*K26</f>
        <v>192.85311390934595</v>
      </c>
      <c r="M26" s="13">
        <f>L26/10</f>
        <v>19.285311390934595</v>
      </c>
    </row>
    <row r="27" spans="1:15" x14ac:dyDescent="0.2">
      <c r="A27" s="6" t="s">
        <v>28</v>
      </c>
      <c r="B27" s="7">
        <v>100</v>
      </c>
      <c r="C27" s="7">
        <v>400</v>
      </c>
      <c r="D27" s="7">
        <v>100</v>
      </c>
      <c r="E27" s="8">
        <f>D27*$C$2/G27</f>
        <v>2280.2937018287953</v>
      </c>
      <c r="F27" s="7">
        <f>G27/B27</f>
        <v>6</v>
      </c>
      <c r="G27" s="7">
        <f>SUM(B27:D27)</f>
        <v>600</v>
      </c>
      <c r="H27" s="9">
        <v>1</v>
      </c>
      <c r="I27" s="1">
        <v>28.5</v>
      </c>
      <c r="J27" s="10">
        <f>H27*6/I27</f>
        <v>0.21052631578947367</v>
      </c>
      <c r="K27" s="11">
        <v>1</v>
      </c>
      <c r="L27" s="12">
        <f>(J27*F27)*$D$2*(E27/1000)*K27</f>
        <v>32.548192207156276</v>
      </c>
      <c r="M27" s="13">
        <f>L27/10</f>
        <v>3.2548192207156275</v>
      </c>
    </row>
    <row r="29" spans="1:15" x14ac:dyDescent="0.2">
      <c r="A29" s="14" t="s">
        <v>51</v>
      </c>
    </row>
    <row r="30" spans="1:15" x14ac:dyDescent="0.2">
      <c r="A30" s="3"/>
    </row>
    <row r="31" spans="1:15" x14ac:dyDescent="0.2">
      <c r="A31" s="5"/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  <c r="G31" s="5" t="s">
        <v>9</v>
      </c>
      <c r="H31" s="5" t="s">
        <v>10</v>
      </c>
      <c r="I31" s="5" t="s">
        <v>11</v>
      </c>
      <c r="J31" s="5" t="s">
        <v>12</v>
      </c>
      <c r="K31" s="5" t="s">
        <v>13</v>
      </c>
      <c r="L31" s="5" t="s">
        <v>14</v>
      </c>
      <c r="M31" s="5" t="s">
        <v>15</v>
      </c>
    </row>
    <row r="32" spans="1:15" x14ac:dyDescent="0.2">
      <c r="A32" s="6" t="s">
        <v>26</v>
      </c>
      <c r="B32" s="7">
        <v>100</v>
      </c>
      <c r="C32" s="7">
        <v>400</v>
      </c>
      <c r="D32" s="7">
        <v>100</v>
      </c>
      <c r="E32" s="8">
        <f>D32*$C$2/G32</f>
        <v>2280.2937018287953</v>
      </c>
      <c r="F32" s="7">
        <f>G32/B32</f>
        <v>6</v>
      </c>
      <c r="G32" s="7">
        <f>SUM(B32:D32)</f>
        <v>600</v>
      </c>
      <c r="H32" s="9">
        <v>1</v>
      </c>
      <c r="I32" s="1">
        <v>9.6</v>
      </c>
      <c r="J32" s="10">
        <f>H32*6/I32</f>
        <v>0.625</v>
      </c>
      <c r="K32" s="11">
        <v>1</v>
      </c>
      <c r="L32" s="12">
        <f>(J32*F32)*$D$2*(E32/1000)*K32</f>
        <v>96.62744561499521</v>
      </c>
      <c r="M32" s="13">
        <f>L32/10</f>
        <v>9.6627445614995207</v>
      </c>
    </row>
    <row r="33" spans="1:13" x14ac:dyDescent="0.2">
      <c r="A33" s="6" t="s">
        <v>27</v>
      </c>
      <c r="B33" s="7">
        <v>100</v>
      </c>
      <c r="C33" s="7">
        <v>400</v>
      </c>
      <c r="D33" s="7">
        <v>100</v>
      </c>
      <c r="E33" s="8">
        <f>D33*$C$2/G33</f>
        <v>2280.2937018287953</v>
      </c>
      <c r="F33" s="7">
        <f>G33/B33</f>
        <v>6</v>
      </c>
      <c r="G33" s="7">
        <f>SUM(B33:D33)</f>
        <v>600</v>
      </c>
      <c r="H33" s="9">
        <v>1</v>
      </c>
      <c r="I33" s="1">
        <v>5.47</v>
      </c>
      <c r="J33" s="10">
        <f>H33*6/I33</f>
        <v>1.0968921389396711</v>
      </c>
      <c r="K33" s="11">
        <v>1</v>
      </c>
      <c r="L33" s="12">
        <f>(J33*F33)*$D$2*(E33/1000)*K33</f>
        <v>169.58381680145416</v>
      </c>
      <c r="M33" s="13">
        <f>L33/10</f>
        <v>16.958381680145415</v>
      </c>
    </row>
    <row r="34" spans="1:13" x14ac:dyDescent="0.2">
      <c r="A34" s="6" t="s">
        <v>28</v>
      </c>
      <c r="B34" s="7">
        <v>100</v>
      </c>
      <c r="C34" s="7">
        <v>400</v>
      </c>
      <c r="D34" s="7">
        <v>100</v>
      </c>
      <c r="E34" s="8">
        <f>D34*$C$2/G34</f>
        <v>2280.2937018287953</v>
      </c>
      <c r="F34" s="7">
        <f>G34/B34</f>
        <v>6</v>
      </c>
      <c r="G34" s="7">
        <f>SUM(B34:D34)</f>
        <v>600</v>
      </c>
      <c r="H34" s="9">
        <v>1</v>
      </c>
      <c r="I34" s="1">
        <v>21.8</v>
      </c>
      <c r="J34" s="10">
        <f>H34*6/I34</f>
        <v>0.27522935779816515</v>
      </c>
      <c r="K34" s="11">
        <v>1</v>
      </c>
      <c r="L34" s="12">
        <f>(J34*F34)*$D$2*(E34/1000)*K34</f>
        <v>42.551535683667616</v>
      </c>
      <c r="M34" s="13">
        <f>L34/10</f>
        <v>4.2551535683667616</v>
      </c>
    </row>
    <row r="36" spans="1:13" x14ac:dyDescent="0.2">
      <c r="A36" s="14"/>
    </row>
    <row r="37" spans="1:13" x14ac:dyDescent="0.2">
      <c r="A37" s="15"/>
    </row>
    <row r="38" spans="1:13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x14ac:dyDescent="0.2">
      <c r="A39" s="17"/>
      <c r="B39" s="18"/>
      <c r="C39" s="18"/>
      <c r="D39" s="18"/>
      <c r="E39" s="19"/>
      <c r="F39" s="18"/>
      <c r="G39" s="18"/>
      <c r="H39" s="9"/>
      <c r="J39" s="10"/>
      <c r="K39" s="11"/>
      <c r="L39" s="12"/>
      <c r="M39" s="13"/>
    </row>
    <row r="40" spans="1:13" x14ac:dyDescent="0.2">
      <c r="A40" s="17"/>
      <c r="B40" s="18"/>
      <c r="C40" s="18"/>
      <c r="D40" s="18"/>
      <c r="E40" s="19"/>
      <c r="F40" s="18"/>
      <c r="G40" s="18"/>
      <c r="H40" s="9"/>
      <c r="J40" s="10"/>
      <c r="K40" s="11"/>
      <c r="L40" s="12"/>
      <c r="M40" s="13"/>
    </row>
    <row r="41" spans="1:13" x14ac:dyDescent="0.2">
      <c r="A41" s="17"/>
      <c r="B41" s="18"/>
      <c r="C41" s="18"/>
      <c r="D41" s="18"/>
      <c r="E41" s="19"/>
      <c r="F41" s="18"/>
      <c r="G41" s="18"/>
      <c r="H41" s="9"/>
      <c r="J41" s="10"/>
      <c r="K41" s="11"/>
      <c r="L41" s="12"/>
      <c r="M41" s="13"/>
    </row>
    <row r="45" spans="1:13" x14ac:dyDescent="0.2">
      <c r="A45" s="3" t="s">
        <v>16</v>
      </c>
    </row>
    <row r="46" spans="1:13" x14ac:dyDescent="0.2">
      <c r="A46" s="5"/>
      <c r="B46" s="5" t="s">
        <v>4</v>
      </c>
      <c r="C46" s="5" t="s">
        <v>5</v>
      </c>
      <c r="D46" s="5" t="s">
        <v>6</v>
      </c>
      <c r="E46" s="5" t="s">
        <v>7</v>
      </c>
      <c r="F46" s="5" t="s">
        <v>8</v>
      </c>
      <c r="G46" s="5" t="s">
        <v>9</v>
      </c>
      <c r="H46" s="5" t="s">
        <v>10</v>
      </c>
      <c r="I46" s="5" t="s">
        <v>11</v>
      </c>
      <c r="J46" s="5" t="s">
        <v>12</v>
      </c>
      <c r="K46" s="5" t="s">
        <v>13</v>
      </c>
      <c r="L46" s="5" t="s">
        <v>14</v>
      </c>
      <c r="M46" s="5" t="s">
        <v>15</v>
      </c>
    </row>
    <row r="47" spans="1:13" x14ac:dyDescent="0.2">
      <c r="A47" s="1" t="s">
        <v>52</v>
      </c>
      <c r="B47" s="7">
        <v>100</v>
      </c>
      <c r="C47" s="7">
        <v>400</v>
      </c>
      <c r="D47" s="7">
        <v>100</v>
      </c>
      <c r="E47" s="8">
        <f>D47*$C$2/G47</f>
        <v>2280.2937018287953</v>
      </c>
      <c r="F47" s="7">
        <f>G47/B47</f>
        <v>6</v>
      </c>
      <c r="G47" s="7">
        <f>SUM(B47:D47)</f>
        <v>600</v>
      </c>
      <c r="H47" s="9">
        <v>1</v>
      </c>
      <c r="I47" s="1">
        <v>9.5</v>
      </c>
      <c r="J47" s="10">
        <f>H47*6/I47</f>
        <v>0.63157894736842102</v>
      </c>
      <c r="K47" s="11">
        <v>1</v>
      </c>
      <c r="L47" s="12">
        <f>(J47*F47)*$D$2*(E47/1000)*K47</f>
        <v>97.644576621468843</v>
      </c>
      <c r="M47" s="13">
        <f>L47/10</f>
        <v>9.764457662146885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0FCD-DD6C-4C3C-A014-2E5D86BFF136}">
  <dimension ref="A1:T57"/>
  <sheetViews>
    <sheetView topLeftCell="A21" zoomScale="63" workbookViewId="0">
      <selection activeCell="O47" sqref="O47"/>
    </sheetView>
  </sheetViews>
  <sheetFormatPr baseColWidth="10" defaultColWidth="11.33203125" defaultRowHeight="16" x14ac:dyDescent="0.2"/>
  <cols>
    <col min="1" max="1" width="19.33203125" style="1" bestFit="1" customWidth="1"/>
    <col min="2" max="2" width="15.33203125" style="1" customWidth="1"/>
    <col min="3" max="3" width="15.1640625" style="1" customWidth="1"/>
    <col min="4" max="4" width="14.1640625" style="1" bestFit="1" customWidth="1"/>
    <col min="5" max="5" width="13.1640625" style="1" customWidth="1"/>
    <col min="6" max="6" width="10.83203125" style="1" bestFit="1" customWidth="1"/>
    <col min="7" max="8" width="9.33203125" style="1" bestFit="1" customWidth="1"/>
    <col min="9" max="9" width="9.33203125" style="1" customWidth="1"/>
    <col min="10" max="10" width="12.6640625" style="1" bestFit="1" customWidth="1"/>
    <col min="11" max="11" width="12.5" style="1" bestFit="1" customWidth="1"/>
    <col min="12" max="12" width="10.6640625" style="1" customWidth="1"/>
    <col min="13" max="13" width="12.83203125" style="1" bestFit="1" customWidth="1"/>
    <col min="14" max="16384" width="11.3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2">
      <c r="A2" s="1">
        <v>1000</v>
      </c>
      <c r="B2" s="1">
        <v>73.09</v>
      </c>
      <c r="C2" s="2">
        <f>1000*A2/B2</f>
        <v>13681.762210972773</v>
      </c>
      <c r="D2" s="1">
        <v>11.3</v>
      </c>
    </row>
    <row r="3" spans="1:13" x14ac:dyDescent="0.2">
      <c r="A3" s="1" t="s">
        <v>52</v>
      </c>
    </row>
    <row r="4" spans="1:13" x14ac:dyDescent="0.2">
      <c r="A4" s="14" t="s">
        <v>24</v>
      </c>
      <c r="B4" s="4"/>
    </row>
    <row r="5" spans="1:13" x14ac:dyDescent="0.2">
      <c r="A5" s="5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</row>
    <row r="6" spans="1:13" x14ac:dyDescent="0.2">
      <c r="A6" s="6" t="s">
        <v>26</v>
      </c>
      <c r="B6" s="7">
        <v>100</v>
      </c>
      <c r="C6" s="7">
        <v>400</v>
      </c>
      <c r="D6" s="7">
        <v>100</v>
      </c>
      <c r="E6" s="8">
        <f>D6*$C$2/G6</f>
        <v>2280.2937018287953</v>
      </c>
      <c r="F6" s="7">
        <f>G6/B6</f>
        <v>6</v>
      </c>
      <c r="G6" s="7">
        <f>SUM(B6:D6)</f>
        <v>600</v>
      </c>
      <c r="H6" s="9">
        <v>1</v>
      </c>
      <c r="I6" s="1">
        <v>8.4499999999999993</v>
      </c>
      <c r="J6" s="10">
        <f>H6*6/I6</f>
        <v>0.71005917159763321</v>
      </c>
      <c r="K6" s="11">
        <v>1</v>
      </c>
      <c r="L6" s="12">
        <f>(J6*F6)*$D$2*(E6/1000)*K6</f>
        <v>109.77792637916616</v>
      </c>
      <c r="M6" s="13">
        <f>L6/10</f>
        <v>10.977792637916616</v>
      </c>
    </row>
    <row r="7" spans="1:13" x14ac:dyDescent="0.2">
      <c r="A7" s="6" t="s">
        <v>27</v>
      </c>
      <c r="B7" s="7">
        <v>100</v>
      </c>
      <c r="C7" s="7">
        <v>400</v>
      </c>
      <c r="D7" s="7">
        <v>100</v>
      </c>
      <c r="E7" s="8">
        <f>D7*$C$2/G7</f>
        <v>2280.2937018287953</v>
      </c>
      <c r="F7" s="7">
        <f>G7/B7</f>
        <v>6</v>
      </c>
      <c r="G7" s="7">
        <f>SUM(B7:D7)</f>
        <v>600</v>
      </c>
      <c r="H7" s="9">
        <v>1</v>
      </c>
      <c r="I7" s="1">
        <v>4.03</v>
      </c>
      <c r="J7" s="10">
        <f>H7*6/I7</f>
        <v>1.4888337468982629</v>
      </c>
      <c r="K7" s="11">
        <v>1</v>
      </c>
      <c r="L7" s="12">
        <f>(J7*F7)*$D$2*(E7/1000)*K7</f>
        <v>230.17952305309029</v>
      </c>
      <c r="M7" s="13">
        <f>L7/10</f>
        <v>23.017952305309031</v>
      </c>
    </row>
    <row r="8" spans="1:13" x14ac:dyDescent="0.2">
      <c r="A8" s="6" t="s">
        <v>28</v>
      </c>
      <c r="B8" s="7">
        <v>100</v>
      </c>
      <c r="C8" s="7">
        <v>400</v>
      </c>
      <c r="D8" s="7">
        <v>100</v>
      </c>
      <c r="E8" s="8">
        <f>D8*$C$2/G8</f>
        <v>2280.2937018287953</v>
      </c>
      <c r="F8" s="7">
        <f>G8/B8</f>
        <v>6</v>
      </c>
      <c r="G8" s="7">
        <f>SUM(B8:D8)</f>
        <v>600</v>
      </c>
      <c r="H8" s="9">
        <v>1</v>
      </c>
      <c r="I8" s="1">
        <v>40.9</v>
      </c>
      <c r="J8" s="10">
        <f>H8*6/I8</f>
        <v>0.14669926650366749</v>
      </c>
      <c r="K8" s="11">
        <v>1</v>
      </c>
      <c r="L8" s="12">
        <f>(J8*F8)*$D$2*(E8/1000)*K8</f>
        <v>22.680280633348509</v>
      </c>
      <c r="M8" s="13">
        <f>L8/10</f>
        <v>2.2680280633348509</v>
      </c>
    </row>
    <row r="9" spans="1:13" x14ac:dyDescent="0.2">
      <c r="I9" s="15"/>
    </row>
    <row r="16" spans="1:13" x14ac:dyDescent="0.2">
      <c r="A16" s="14" t="s">
        <v>25</v>
      </c>
    </row>
    <row r="17" spans="1:19" x14ac:dyDescent="0.2">
      <c r="A17" s="3"/>
    </row>
    <row r="18" spans="1:19" x14ac:dyDescent="0.2">
      <c r="A18" s="5"/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</row>
    <row r="19" spans="1:19" x14ac:dyDescent="0.2">
      <c r="A19" s="6" t="s">
        <v>26</v>
      </c>
      <c r="B19" s="7">
        <v>100</v>
      </c>
      <c r="C19" s="7">
        <v>400</v>
      </c>
      <c r="D19" s="7">
        <v>100</v>
      </c>
      <c r="E19" s="8">
        <f>D19*$C$2/G19</f>
        <v>2280.2937018287953</v>
      </c>
      <c r="F19" s="7">
        <f>G19/B19</f>
        <v>6</v>
      </c>
      <c r="G19" s="7">
        <f>SUM(B19:D19)</f>
        <v>600</v>
      </c>
      <c r="H19" s="9">
        <v>1</v>
      </c>
      <c r="I19" s="1">
        <v>8.1999999999999993</v>
      </c>
      <c r="J19" s="10">
        <f>H19*6/I19</f>
        <v>0.73170731707317083</v>
      </c>
      <c r="K19" s="11">
        <v>1</v>
      </c>
      <c r="L19" s="12">
        <f>(J19*F19)*$D$2*(E19/1000)*K19</f>
        <v>113.12481437853098</v>
      </c>
      <c r="M19" s="13">
        <f>L19/10</f>
        <v>11.312481437853098</v>
      </c>
    </row>
    <row r="20" spans="1:19" x14ac:dyDescent="0.2">
      <c r="A20" s="6" t="s">
        <v>27</v>
      </c>
      <c r="B20" s="7">
        <v>100</v>
      </c>
      <c r="C20" s="7">
        <v>400</v>
      </c>
      <c r="D20" s="7">
        <v>100</v>
      </c>
      <c r="E20" s="8">
        <f>D20*$C$2/G20</f>
        <v>2280.2937018287953</v>
      </c>
      <c r="F20" s="7">
        <f>G20/B20</f>
        <v>6</v>
      </c>
      <c r="G20" s="7">
        <f>SUM(B20:D20)</f>
        <v>600</v>
      </c>
      <c r="H20" s="9">
        <v>1</v>
      </c>
      <c r="I20" s="1">
        <v>4.5</v>
      </c>
      <c r="J20" s="10">
        <f>H20*6/I20</f>
        <v>1.3333333333333333</v>
      </c>
      <c r="K20" s="11">
        <v>1</v>
      </c>
      <c r="L20" s="12">
        <f>(J20*F20)*$D$2*(E20/1000)*K20</f>
        <v>206.13855064532311</v>
      </c>
      <c r="M20" s="13">
        <f>L20/10</f>
        <v>20.613855064532309</v>
      </c>
    </row>
    <row r="21" spans="1:19" x14ac:dyDescent="0.2">
      <c r="A21" s="6" t="s">
        <v>28</v>
      </c>
      <c r="B21" s="7">
        <v>100</v>
      </c>
      <c r="C21" s="7">
        <v>400</v>
      </c>
      <c r="D21" s="7">
        <v>100</v>
      </c>
      <c r="E21" s="8">
        <f>D21*$C$2/G21</f>
        <v>2280.2937018287953</v>
      </c>
      <c r="F21" s="7">
        <f>G21/B21</f>
        <v>6</v>
      </c>
      <c r="G21" s="7">
        <f>SUM(B21:D21)</f>
        <v>600</v>
      </c>
      <c r="H21" s="9">
        <v>1</v>
      </c>
      <c r="I21" s="1">
        <v>33.299999999999997</v>
      </c>
      <c r="J21" s="10">
        <f>H21*6/I21</f>
        <v>0.1801801801801802</v>
      </c>
      <c r="K21" s="11">
        <v>1</v>
      </c>
      <c r="L21" s="12">
        <f>(J21*F21)*$D$2*(E21/1000)*K21</f>
        <v>27.856560898016639</v>
      </c>
      <c r="M21" s="13">
        <f>L21/10</f>
        <v>2.7856560898016638</v>
      </c>
    </row>
    <row r="25" spans="1:19" x14ac:dyDescent="0.2">
      <c r="O25" s="1" t="s">
        <v>29</v>
      </c>
      <c r="P25" s="1" t="s">
        <v>30</v>
      </c>
      <c r="Q25" s="1" t="s">
        <v>31</v>
      </c>
      <c r="R25" s="1" t="s">
        <v>49</v>
      </c>
      <c r="S25" s="1" t="s">
        <v>36</v>
      </c>
    </row>
    <row r="26" spans="1:19" x14ac:dyDescent="0.2">
      <c r="N26" s="1" t="s">
        <v>26</v>
      </c>
      <c r="O26" s="12">
        <v>110.95974616076008</v>
      </c>
      <c r="P26" s="12">
        <v>113.67934778234729</v>
      </c>
      <c r="Q26" s="12">
        <v>109.77792637916616</v>
      </c>
      <c r="R26" s="2">
        <f>AVERAGE(O26:Q26)</f>
        <v>111.4723401074245</v>
      </c>
      <c r="S26" s="1">
        <f>STDEV(O26:Q26)</f>
        <v>2.0005840789423783</v>
      </c>
    </row>
    <row r="27" spans="1:19" x14ac:dyDescent="0.2">
      <c r="O27" s="12">
        <v>108.36722872709744</v>
      </c>
      <c r="P27" s="12">
        <v>109.13217387105341</v>
      </c>
      <c r="Q27" s="12">
        <v>113.12481437853098</v>
      </c>
      <c r="R27" s="2">
        <f t="shared" ref="R27:R44" si="0">AVERAGE(O27:Q27)</f>
        <v>110.20807232556062</v>
      </c>
      <c r="S27" s="1">
        <f t="shared" ref="S27:S44" si="1">STDEV(O27:Q27)</f>
        <v>2.5547648465151984</v>
      </c>
    </row>
    <row r="28" spans="1:19" x14ac:dyDescent="0.2">
      <c r="O28" s="12">
        <v>105.65187675443669</v>
      </c>
      <c r="P28" s="12">
        <v>101.37961507147038</v>
      </c>
      <c r="Q28" s="12">
        <v>106.13540937116178</v>
      </c>
      <c r="R28" s="2">
        <f t="shared" si="0"/>
        <v>104.38896706568961</v>
      </c>
      <c r="S28" s="1">
        <f t="shared" si="1"/>
        <v>2.6173651859633038</v>
      </c>
    </row>
    <row r="29" spans="1:19" x14ac:dyDescent="0.2">
      <c r="O29" s="12">
        <v>100.93835450532687</v>
      </c>
      <c r="P29" s="12">
        <v>96.62744561499521</v>
      </c>
      <c r="Q29" s="12">
        <v>99.851827546173752</v>
      </c>
      <c r="R29" s="2">
        <f t="shared" si="0"/>
        <v>99.139209222165277</v>
      </c>
      <c r="S29" s="1">
        <f t="shared" si="1"/>
        <v>2.2420643438513586</v>
      </c>
    </row>
    <row r="30" spans="1:19" x14ac:dyDescent="0.2">
      <c r="A30" s="14" t="s">
        <v>50</v>
      </c>
      <c r="R30" s="2"/>
    </row>
    <row r="31" spans="1:19" x14ac:dyDescent="0.2">
      <c r="A31" s="3"/>
      <c r="R31" s="2"/>
    </row>
    <row r="32" spans="1:19" x14ac:dyDescent="0.2">
      <c r="A32" s="5"/>
      <c r="B32" s="5" t="s">
        <v>4</v>
      </c>
      <c r="C32" s="5" t="s">
        <v>5</v>
      </c>
      <c r="D32" s="5" t="s">
        <v>6</v>
      </c>
      <c r="E32" s="5" t="s">
        <v>7</v>
      </c>
      <c r="F32" s="5" t="s">
        <v>8</v>
      </c>
      <c r="G32" s="5" t="s">
        <v>9</v>
      </c>
      <c r="H32" s="5" t="s">
        <v>10</v>
      </c>
      <c r="I32" s="5" t="s">
        <v>11</v>
      </c>
      <c r="J32" s="5" t="s">
        <v>12</v>
      </c>
      <c r="K32" s="5" t="s">
        <v>13</v>
      </c>
      <c r="L32" s="5" t="s">
        <v>14</v>
      </c>
      <c r="M32" s="5" t="s">
        <v>15</v>
      </c>
      <c r="N32" s="1" t="s">
        <v>27</v>
      </c>
      <c r="O32" s="12">
        <v>227.35869556469459</v>
      </c>
      <c r="P32" s="12">
        <v>225.69914304232458</v>
      </c>
      <c r="Q32" s="12">
        <v>230.17952305309029</v>
      </c>
      <c r="R32" s="2">
        <f t="shared" si="0"/>
        <v>227.74578722003648</v>
      </c>
      <c r="S32" s="1">
        <f t="shared" si="1"/>
        <v>2.2651338199858619</v>
      </c>
    </row>
    <row r="33" spans="1:20" x14ac:dyDescent="0.2">
      <c r="A33" s="6" t="s">
        <v>26</v>
      </c>
      <c r="B33" s="7">
        <v>100</v>
      </c>
      <c r="C33" s="7">
        <v>400</v>
      </c>
      <c r="D33" s="7">
        <v>100</v>
      </c>
      <c r="E33" s="8">
        <f>D33*$C$2/G33</f>
        <v>2280.2937018287953</v>
      </c>
      <c r="F33" s="7">
        <f>G33/B33</f>
        <v>6</v>
      </c>
      <c r="G33" s="7">
        <f>SUM(B33:D33)</f>
        <v>600</v>
      </c>
      <c r="H33" s="9">
        <v>1</v>
      </c>
      <c r="I33" s="1">
        <v>8.74</v>
      </c>
      <c r="J33" s="10">
        <f>H33*6/I33</f>
        <v>0.68649885583524028</v>
      </c>
      <c r="K33" s="11">
        <v>1</v>
      </c>
      <c r="L33" s="12">
        <f>(J33*F33)*$D$2*(E33/1000)*K33</f>
        <v>106.13540937116178</v>
      </c>
      <c r="M33" s="13">
        <f>L33/10</f>
        <v>10.613540937116179</v>
      </c>
      <c r="O33" s="12">
        <v>206.5976565487648</v>
      </c>
      <c r="P33" s="12">
        <v>203.42620129472675</v>
      </c>
      <c r="Q33" s="12">
        <v>206.13855064532311</v>
      </c>
      <c r="R33" s="2">
        <f t="shared" si="0"/>
        <v>205.38746949627156</v>
      </c>
      <c r="S33" s="1">
        <f t="shared" si="1"/>
        <v>1.7139499048796147</v>
      </c>
      <c r="T33" s="12"/>
    </row>
    <row r="34" spans="1:20" x14ac:dyDescent="0.2">
      <c r="A34" s="6" t="s">
        <v>27</v>
      </c>
      <c r="B34" s="7">
        <v>100</v>
      </c>
      <c r="C34" s="7">
        <v>400</v>
      </c>
      <c r="D34" s="7">
        <v>100</v>
      </c>
      <c r="E34" s="8">
        <f>D34*$C$2/G34</f>
        <v>2280.2937018287953</v>
      </c>
      <c r="F34" s="7">
        <f>G34/B34</f>
        <v>6</v>
      </c>
      <c r="G34" s="7">
        <f>SUM(B34:D34)</f>
        <v>600</v>
      </c>
      <c r="H34" s="9">
        <v>1</v>
      </c>
      <c r="I34" s="1">
        <v>4.82</v>
      </c>
      <c r="J34" s="10">
        <f>H34*6/I34</f>
        <v>1.2448132780082988</v>
      </c>
      <c r="K34" s="11">
        <v>1</v>
      </c>
      <c r="L34" s="12">
        <f>(J34*F34)*$D$2*(E34/1000)*K34</f>
        <v>192.4530037145133</v>
      </c>
      <c r="M34" s="13">
        <f>L34/10</f>
        <v>19.245300371451329</v>
      </c>
      <c r="O34" s="12">
        <v>189.31091385794977</v>
      </c>
      <c r="P34" s="12">
        <v>192.85311390934595</v>
      </c>
      <c r="Q34" s="12">
        <v>192.4530037145133</v>
      </c>
      <c r="R34" s="2">
        <f t="shared" si="0"/>
        <v>191.53901049393633</v>
      </c>
      <c r="S34" s="1">
        <f t="shared" si="1"/>
        <v>1.9399311860149204</v>
      </c>
      <c r="T34" s="12"/>
    </row>
    <row r="35" spans="1:20" x14ac:dyDescent="0.2">
      <c r="A35" s="6" t="s">
        <v>28</v>
      </c>
      <c r="B35" s="7">
        <v>100</v>
      </c>
      <c r="C35" s="7">
        <v>400</v>
      </c>
      <c r="D35" s="7">
        <v>100</v>
      </c>
      <c r="E35" s="8">
        <f>D35*$C$2/G35</f>
        <v>2280.2937018287953</v>
      </c>
      <c r="F35" s="7">
        <f>G35/B35</f>
        <v>6</v>
      </c>
      <c r="G35" s="7">
        <f>SUM(B35:D35)</f>
        <v>600</v>
      </c>
      <c r="H35" s="9">
        <v>1</v>
      </c>
      <c r="I35" s="1">
        <v>30.14</v>
      </c>
      <c r="J35" s="10">
        <f>H35*6/I35</f>
        <v>0.19907100199071001</v>
      </c>
      <c r="K35" s="11">
        <v>1</v>
      </c>
      <c r="L35" s="12">
        <f>(J35*F35)*$D$2*(E35/1000)*K35</f>
        <v>30.777155869407895</v>
      </c>
      <c r="M35" s="13">
        <f>L35/10</f>
        <v>3.0777155869407897</v>
      </c>
      <c r="O35" s="12">
        <v>171.78212553776925</v>
      </c>
      <c r="P35" s="12">
        <v>169.58381680145416</v>
      </c>
      <c r="Q35" s="12">
        <v>173.38756596335591</v>
      </c>
      <c r="R35" s="2">
        <f t="shared" si="0"/>
        <v>171.58450276752646</v>
      </c>
      <c r="S35" s="1">
        <f t="shared" si="1"/>
        <v>1.9095596327834057</v>
      </c>
      <c r="T35" s="12"/>
    </row>
    <row r="36" spans="1:20" x14ac:dyDescent="0.2">
      <c r="R36" s="2"/>
      <c r="T36" s="12"/>
    </row>
    <row r="37" spans="1:20" x14ac:dyDescent="0.2">
      <c r="R37" s="2"/>
    </row>
    <row r="38" spans="1:20" x14ac:dyDescent="0.2">
      <c r="N38" s="1" t="s">
        <v>28</v>
      </c>
      <c r="O38" s="12">
        <v>20.972721634726526</v>
      </c>
      <c r="P38" s="12">
        <v>22.602911254969637</v>
      </c>
      <c r="Q38" s="12">
        <v>22.680280633348509</v>
      </c>
      <c r="R38" s="2">
        <f t="shared" si="0"/>
        <v>22.08530450768156</v>
      </c>
      <c r="S38" s="1">
        <f t="shared" si="1"/>
        <v>0.96430129735074899</v>
      </c>
      <c r="T38" s="12"/>
    </row>
    <row r="39" spans="1:20" x14ac:dyDescent="0.2">
      <c r="A39" s="14" t="s">
        <v>51</v>
      </c>
      <c r="O39" s="12">
        <v>26.732665069278212</v>
      </c>
      <c r="P39" s="12">
        <v>26</v>
      </c>
      <c r="Q39" s="12">
        <v>27.856560898016639</v>
      </c>
      <c r="R39" s="2">
        <f t="shared" si="0"/>
        <v>26.863075322431616</v>
      </c>
      <c r="S39" s="1">
        <f t="shared" si="1"/>
        <v>0.9351255090129551</v>
      </c>
      <c r="T39" s="12"/>
    </row>
    <row r="40" spans="1:20" x14ac:dyDescent="0.2">
      <c r="A40" s="3"/>
      <c r="O40" s="12">
        <v>33.153090704215657</v>
      </c>
      <c r="P40" s="12">
        <v>32.548192207156276</v>
      </c>
      <c r="Q40" s="12">
        <v>30.777155869407895</v>
      </c>
      <c r="R40" s="2">
        <f t="shared" si="0"/>
        <v>32.159479593593275</v>
      </c>
      <c r="S40" s="1">
        <f t="shared" si="1"/>
        <v>1.2347427694748734</v>
      </c>
      <c r="T40" s="12"/>
    </row>
    <row r="41" spans="1:20" x14ac:dyDescent="0.2">
      <c r="A41" s="5"/>
      <c r="B41" s="5" t="s">
        <v>4</v>
      </c>
      <c r="C41" s="5" t="s">
        <v>5</v>
      </c>
      <c r="D41" s="5" t="s">
        <v>6</v>
      </c>
      <c r="E41" s="5" t="s">
        <v>7</v>
      </c>
      <c r="F41" s="5" t="s">
        <v>8</v>
      </c>
      <c r="G41" s="5" t="s">
        <v>9</v>
      </c>
      <c r="H41" s="5" t="s">
        <v>10</v>
      </c>
      <c r="I41" s="5" t="s">
        <v>11</v>
      </c>
      <c r="J41" s="5" t="s">
        <v>12</v>
      </c>
      <c r="K41" s="5" t="s">
        <v>13</v>
      </c>
      <c r="L41" s="5" t="s">
        <v>14</v>
      </c>
      <c r="M41" s="5" t="s">
        <v>15</v>
      </c>
      <c r="O41" s="12">
        <v>39.12372323508874</v>
      </c>
      <c r="P41" s="12">
        <v>42.551535683667616</v>
      </c>
      <c r="Q41" s="12">
        <v>43.245849785732126</v>
      </c>
      <c r="R41" s="2">
        <f t="shared" si="0"/>
        <v>41.640369568162832</v>
      </c>
      <c r="S41" s="1">
        <f t="shared" si="1"/>
        <v>2.2069548233737932</v>
      </c>
      <c r="T41" s="12"/>
    </row>
    <row r="42" spans="1:20" x14ac:dyDescent="0.2">
      <c r="A42" s="6" t="s">
        <v>26</v>
      </c>
      <c r="B42" s="7">
        <v>100</v>
      </c>
      <c r="C42" s="7">
        <v>400</v>
      </c>
      <c r="D42" s="7">
        <v>100</v>
      </c>
      <c r="E42" s="8">
        <f>D42*$C$2/G42</f>
        <v>2280.2937018287953</v>
      </c>
      <c r="F42" s="7">
        <f>G42/B42</f>
        <v>6</v>
      </c>
      <c r="G42" s="7">
        <f>SUM(B42:D42)</f>
        <v>600</v>
      </c>
      <c r="H42" s="9">
        <v>1</v>
      </c>
      <c r="I42" s="1">
        <v>9.2899999999999991</v>
      </c>
      <c r="J42" s="10">
        <f>H42*6/I42</f>
        <v>0.64585575888051672</v>
      </c>
      <c r="K42" s="11">
        <v>1</v>
      </c>
      <c r="L42" s="12">
        <f>(J42*F42)*$D$2*(E42/1000)*K42</f>
        <v>99.851827546173752</v>
      </c>
      <c r="M42" s="13">
        <f>L42/10</f>
        <v>9.9851827546173748</v>
      </c>
      <c r="R42" s="2"/>
    </row>
    <row r="43" spans="1:20" x14ac:dyDescent="0.2">
      <c r="A43" s="6" t="s">
        <v>27</v>
      </c>
      <c r="B43" s="7">
        <v>100</v>
      </c>
      <c r="C43" s="7">
        <v>400</v>
      </c>
      <c r="D43" s="7">
        <v>100</v>
      </c>
      <c r="E43" s="8">
        <f>D43*$C$2/G43</f>
        <v>2280.2937018287953</v>
      </c>
      <c r="F43" s="7">
        <f>G43/B43</f>
        <v>6</v>
      </c>
      <c r="G43" s="7">
        <f>SUM(B43:D43)</f>
        <v>600</v>
      </c>
      <c r="H43" s="9">
        <v>1</v>
      </c>
      <c r="I43" s="1">
        <v>5.35</v>
      </c>
      <c r="J43" s="10">
        <f>H43*6/I43</f>
        <v>1.1214953271028039</v>
      </c>
      <c r="K43" s="11">
        <v>1</v>
      </c>
      <c r="L43" s="12">
        <f>(J43*F43)*$D$2*(E43/1000)*K43</f>
        <v>173.38756596335591</v>
      </c>
      <c r="M43" s="13">
        <f>L43/10</f>
        <v>17.338756596335593</v>
      </c>
      <c r="P43" s="12"/>
      <c r="R43" s="2"/>
      <c r="T43" s="12"/>
    </row>
    <row r="44" spans="1:20" x14ac:dyDescent="0.2">
      <c r="A44" s="6" t="s">
        <v>28</v>
      </c>
      <c r="B44" s="7">
        <v>100</v>
      </c>
      <c r="C44" s="7">
        <v>400</v>
      </c>
      <c r="D44" s="7">
        <v>100</v>
      </c>
      <c r="E44" s="8">
        <f>D44*$C$2/G44</f>
        <v>2280.2937018287953</v>
      </c>
      <c r="F44" s="7">
        <f>G44/B44</f>
        <v>6</v>
      </c>
      <c r="G44" s="7">
        <f>SUM(B44:D44)</f>
        <v>600</v>
      </c>
      <c r="H44" s="9">
        <v>1</v>
      </c>
      <c r="I44" s="1">
        <v>21.45</v>
      </c>
      <c r="J44" s="10">
        <f>H44*6/I44</f>
        <v>0.27972027972027974</v>
      </c>
      <c r="K44" s="11">
        <v>1</v>
      </c>
      <c r="L44" s="12">
        <f>(J44*F44)*$D$2*(E44/1000)*K44</f>
        <v>43.245849785732126</v>
      </c>
      <c r="M44" s="13">
        <f>L44/10</f>
        <v>4.3245849785732124</v>
      </c>
      <c r="N44" s="1" t="s">
        <v>23</v>
      </c>
      <c r="O44" s="1">
        <v>99</v>
      </c>
      <c r="P44" s="12">
        <v>98</v>
      </c>
      <c r="Q44" s="1">
        <v>99</v>
      </c>
      <c r="R44" s="2">
        <f t="shared" si="0"/>
        <v>98.666666666666671</v>
      </c>
      <c r="S44" s="1">
        <f t="shared" si="1"/>
        <v>0.57735026918962573</v>
      </c>
    </row>
    <row r="46" spans="1:20" x14ac:dyDescent="0.2">
      <c r="A46" s="14"/>
    </row>
    <row r="47" spans="1:20" x14ac:dyDescent="0.2">
      <c r="A47" s="3"/>
    </row>
    <row r="48" spans="1:20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x14ac:dyDescent="0.2">
      <c r="A49" s="6"/>
      <c r="B49" s="7"/>
      <c r="C49" s="7"/>
      <c r="D49" s="7"/>
      <c r="E49" s="8"/>
      <c r="F49" s="7"/>
      <c r="G49" s="7"/>
      <c r="H49" s="9"/>
      <c r="J49" s="10"/>
      <c r="K49" s="11"/>
      <c r="L49" s="12"/>
      <c r="M49" s="13"/>
    </row>
    <row r="50" spans="1:13" x14ac:dyDescent="0.2">
      <c r="A50" s="6"/>
      <c r="B50" s="7"/>
      <c r="C50" s="7"/>
      <c r="D50" s="7"/>
      <c r="E50" s="8"/>
      <c r="F50" s="7"/>
      <c r="G50" s="7"/>
      <c r="H50" s="9"/>
      <c r="J50" s="10"/>
      <c r="K50" s="11"/>
      <c r="L50" s="12"/>
      <c r="M50" s="13"/>
    </row>
    <row r="51" spans="1:13" x14ac:dyDescent="0.2">
      <c r="A51" s="6"/>
      <c r="B51" s="7"/>
      <c r="C51" s="7"/>
      <c r="D51" s="7"/>
      <c r="E51" s="8"/>
      <c r="F51" s="7"/>
      <c r="G51" s="7"/>
      <c r="H51" s="9"/>
      <c r="J51" s="10"/>
      <c r="K51" s="11"/>
      <c r="L51" s="12"/>
      <c r="M51" s="13"/>
    </row>
    <row r="55" spans="1:13" x14ac:dyDescent="0.2">
      <c r="A55" s="3" t="s">
        <v>16</v>
      </c>
    </row>
    <row r="56" spans="1:13" x14ac:dyDescent="0.2">
      <c r="A56" s="5"/>
      <c r="B56" s="5" t="s">
        <v>4</v>
      </c>
      <c r="C56" s="5" t="s">
        <v>5</v>
      </c>
      <c r="D56" s="5" t="s">
        <v>6</v>
      </c>
      <c r="E56" s="5" t="s">
        <v>7</v>
      </c>
      <c r="F56" s="5" t="s">
        <v>8</v>
      </c>
      <c r="G56" s="5" t="s">
        <v>9</v>
      </c>
      <c r="H56" s="5" t="s">
        <v>10</v>
      </c>
      <c r="I56" s="5" t="s">
        <v>11</v>
      </c>
      <c r="J56" s="5" t="s">
        <v>12</v>
      </c>
      <c r="K56" s="5" t="s">
        <v>13</v>
      </c>
      <c r="L56" s="5" t="s">
        <v>14</v>
      </c>
      <c r="M56" s="5" t="s">
        <v>15</v>
      </c>
    </row>
    <row r="57" spans="1:13" x14ac:dyDescent="0.2">
      <c r="A57" s="1" t="s">
        <v>52</v>
      </c>
      <c r="B57" s="7">
        <v>100</v>
      </c>
      <c r="C57" s="7">
        <v>400</v>
      </c>
      <c r="D57" s="7">
        <v>100</v>
      </c>
      <c r="E57" s="8">
        <f>D57*$C$2/G57</f>
        <v>2280.2937018287953</v>
      </c>
      <c r="F57" s="7">
        <f>G57/B57</f>
        <v>6</v>
      </c>
      <c r="G57" s="7">
        <f>SUM(B57:D57)</f>
        <v>600</v>
      </c>
      <c r="H57" s="9">
        <v>1</v>
      </c>
      <c r="I57" s="1">
        <v>9.4</v>
      </c>
      <c r="J57" s="10">
        <f>H57*6/I57</f>
        <v>0.63829787234042545</v>
      </c>
      <c r="K57" s="11">
        <v>1</v>
      </c>
      <c r="L57" s="12">
        <f>(J57*F57)*$D$2*(E57/1000)*K57</f>
        <v>98.683348713186604</v>
      </c>
      <c r="M57" s="13">
        <f>L57/10</f>
        <v>9.8683348713186607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1A5C-A823-48C1-9DE5-9B651D7975B8}">
  <dimension ref="B2:N66"/>
  <sheetViews>
    <sheetView topLeftCell="A29" workbookViewId="0">
      <selection activeCell="K43" sqref="K43"/>
    </sheetView>
  </sheetViews>
  <sheetFormatPr baseColWidth="10" defaultColWidth="8.83203125" defaultRowHeight="15" x14ac:dyDescent="0.2"/>
  <cols>
    <col min="3" max="3" width="11.83203125" customWidth="1"/>
    <col min="7" max="7" width="11.83203125" customWidth="1"/>
  </cols>
  <sheetData>
    <row r="2" spans="2:14" ht="16" x14ac:dyDescent="0.2">
      <c r="C2" s="1" t="s">
        <v>52</v>
      </c>
    </row>
    <row r="3" spans="2:14" x14ac:dyDescent="0.2">
      <c r="C3" s="14" t="s">
        <v>32</v>
      </c>
    </row>
    <row r="4" spans="2:14" x14ac:dyDescent="0.2">
      <c r="C4" s="14" t="s">
        <v>22</v>
      </c>
      <c r="G4" s="14" t="s">
        <v>17</v>
      </c>
      <c r="L4" s="14" t="s">
        <v>18</v>
      </c>
    </row>
    <row r="5" spans="2:14" x14ac:dyDescent="0.2">
      <c r="C5" t="s">
        <v>21</v>
      </c>
      <c r="D5" t="s">
        <v>19</v>
      </c>
      <c r="E5" t="s">
        <v>20</v>
      </c>
      <c r="G5" t="s">
        <v>21</v>
      </c>
      <c r="H5" t="s">
        <v>19</v>
      </c>
      <c r="I5" t="s">
        <v>20</v>
      </c>
      <c r="L5" t="s">
        <v>21</v>
      </c>
      <c r="M5" t="s">
        <v>19</v>
      </c>
      <c r="N5" t="s">
        <v>20</v>
      </c>
    </row>
    <row r="6" spans="2:14" x14ac:dyDescent="0.2">
      <c r="B6" t="s">
        <v>29</v>
      </c>
      <c r="C6">
        <v>200</v>
      </c>
      <c r="D6">
        <v>0.69599999999999995</v>
      </c>
      <c r="E6">
        <f>(D6/41199)*66430*C6</f>
        <v>224.44855457656735</v>
      </c>
      <c r="G6">
        <v>50</v>
      </c>
      <c r="H6">
        <v>0.14799999999999999</v>
      </c>
      <c r="I6">
        <f>(H6/41199)*66430*G6</f>
        <v>11.931891550765794</v>
      </c>
      <c r="L6">
        <v>300</v>
      </c>
      <c r="M6">
        <v>0.96299999999999997</v>
      </c>
      <c r="N6">
        <f>(M6/41199)*66430*L6</f>
        <v>465.82749581300516</v>
      </c>
    </row>
    <row r="7" spans="2:14" x14ac:dyDescent="0.2">
      <c r="B7" t="s">
        <v>30</v>
      </c>
      <c r="C7">
        <v>200</v>
      </c>
      <c r="D7">
        <v>0.68600000000000005</v>
      </c>
      <c r="E7">
        <f>(D7/41199)*66430*C7</f>
        <v>221.22371902230634</v>
      </c>
      <c r="G7">
        <v>50</v>
      </c>
      <c r="H7">
        <v>0.13500000000000001</v>
      </c>
      <c r="I7">
        <f>(H7/41199)*66430*G7</f>
        <v>10.883819995630963</v>
      </c>
      <c r="L7">
        <v>300</v>
      </c>
      <c r="M7">
        <v>0.97</v>
      </c>
      <c r="N7">
        <f>(M7/41199)*66430*L7</f>
        <v>469.21357314497925</v>
      </c>
    </row>
    <row r="8" spans="2:14" x14ac:dyDescent="0.2">
      <c r="B8" t="s">
        <v>31</v>
      </c>
      <c r="C8">
        <v>200</v>
      </c>
      <c r="D8">
        <v>0.71799999999999997</v>
      </c>
      <c r="E8">
        <f>(D8/41199)*66430*C8</f>
        <v>231.54319279594162</v>
      </c>
      <c r="G8">
        <v>50</v>
      </c>
      <c r="H8">
        <v>0.13200000000000001</v>
      </c>
      <c r="I8">
        <f>(H8/41199)*66430*G8</f>
        <v>10.641957329061386</v>
      </c>
      <c r="L8">
        <v>300</v>
      </c>
      <c r="M8">
        <v>1</v>
      </c>
      <c r="N8">
        <f>(M8/41199)*66430*L8</f>
        <v>483.72533313915386</v>
      </c>
    </row>
    <row r="9" spans="2:14" x14ac:dyDescent="0.2">
      <c r="E9" s="14">
        <f>AVERAGE(E6:E8)</f>
        <v>225.73848879827176</v>
      </c>
      <c r="I9" s="14">
        <f>AVERAGE(I6:I8)</f>
        <v>11.15255629181938</v>
      </c>
      <c r="N9" s="14">
        <f>AVERAGE(N6:N8)</f>
        <v>472.92213403237946</v>
      </c>
    </row>
    <row r="10" spans="2:14" x14ac:dyDescent="0.2">
      <c r="E10" s="14">
        <f>_xlfn.STDEV.P(E6:E8)</f>
        <v>4.3105167875348576</v>
      </c>
      <c r="I10" s="14">
        <f>_xlfn.STDEV.P(I6:I8)</f>
        <v>0.55984936768613103</v>
      </c>
      <c r="N10" s="14">
        <f>_xlfn.STDEV.P(N6:N8)</f>
        <v>7.7630841435598779</v>
      </c>
    </row>
    <row r="13" spans="2:14" x14ac:dyDescent="0.2">
      <c r="C13" s="14" t="s">
        <v>25</v>
      </c>
    </row>
    <row r="15" spans="2:14" x14ac:dyDescent="0.2">
      <c r="C15" t="s">
        <v>22</v>
      </c>
      <c r="G15" t="s">
        <v>17</v>
      </c>
      <c r="L15" t="s">
        <v>18</v>
      </c>
    </row>
    <row r="16" spans="2:14" x14ac:dyDescent="0.2">
      <c r="C16" t="s">
        <v>21</v>
      </c>
      <c r="D16" t="s">
        <v>19</v>
      </c>
      <c r="E16" t="s">
        <v>20</v>
      </c>
      <c r="G16" t="s">
        <v>21</v>
      </c>
      <c r="H16" t="s">
        <v>19</v>
      </c>
      <c r="I16" t="s">
        <v>20</v>
      </c>
      <c r="L16" t="s">
        <v>21</v>
      </c>
      <c r="M16" t="s">
        <v>19</v>
      </c>
      <c r="N16" t="s">
        <v>20</v>
      </c>
    </row>
    <row r="17" spans="2:14" x14ac:dyDescent="0.2">
      <c r="B17" t="s">
        <v>29</v>
      </c>
      <c r="C17">
        <v>200</v>
      </c>
      <c r="D17">
        <v>0.65500000000000003</v>
      </c>
      <c r="E17">
        <f>(D17/41199)*66430*C17</f>
        <v>211.22672880409721</v>
      </c>
      <c r="G17">
        <v>50</v>
      </c>
      <c r="H17">
        <v>0.248</v>
      </c>
      <c r="I17">
        <f>(H17/41199)*66430*G17</f>
        <v>19.993980436418362</v>
      </c>
      <c r="L17">
        <v>300</v>
      </c>
      <c r="M17">
        <v>0.92500000000000004</v>
      </c>
      <c r="N17">
        <f>(M17/41199)*66430*L17</f>
        <v>447.44593315371736</v>
      </c>
    </row>
    <row r="18" spans="2:14" x14ac:dyDescent="0.2">
      <c r="B18" t="s">
        <v>30</v>
      </c>
      <c r="C18">
        <v>200</v>
      </c>
      <c r="D18">
        <v>0.66900000000000004</v>
      </c>
      <c r="E18">
        <f>(D18/41199)*66430*C18</f>
        <v>215.74149858006263</v>
      </c>
      <c r="G18">
        <v>50</v>
      </c>
      <c r="H18">
        <v>0.245</v>
      </c>
      <c r="I18">
        <f>(H18/41199)*66430*G18</f>
        <v>19.75211776984878</v>
      </c>
      <c r="L18">
        <v>300</v>
      </c>
      <c r="M18">
        <v>0.94</v>
      </c>
      <c r="N18">
        <f>(M18/41199)*66430*L18</f>
        <v>454.70181315080458</v>
      </c>
    </row>
    <row r="19" spans="2:14" x14ac:dyDescent="0.2">
      <c r="B19" t="s">
        <v>31</v>
      </c>
      <c r="C19">
        <v>200</v>
      </c>
      <c r="D19">
        <v>0.67500000000000004</v>
      </c>
      <c r="E19">
        <f>(D19/41199)*66430*C19</f>
        <v>217.67639991261927</v>
      </c>
      <c r="G19">
        <v>50</v>
      </c>
      <c r="H19">
        <v>0.221</v>
      </c>
      <c r="I19">
        <f>(H19/41199)*66430*G19</f>
        <v>17.817216437292167</v>
      </c>
      <c r="L19">
        <v>300</v>
      </c>
      <c r="M19">
        <v>0.95799999999999996</v>
      </c>
      <c r="N19">
        <f>(M19/41199)*66430*L19</f>
        <v>463.40886914730936</v>
      </c>
    </row>
    <row r="20" spans="2:14" x14ac:dyDescent="0.2">
      <c r="E20" s="14">
        <f>AVERAGE(E17:E19)</f>
        <v>214.88154243225972</v>
      </c>
      <c r="I20" s="14">
        <f>AVERAGE(I17:I19)</f>
        <v>19.187771547853103</v>
      </c>
      <c r="N20" s="14">
        <f>AVERAGE(N17:N19)</f>
        <v>455.18553848394373</v>
      </c>
    </row>
    <row r="21" spans="2:14" x14ac:dyDescent="0.2">
      <c r="E21" s="14">
        <f>_xlfn.STDEV.P(E17:E19)</f>
        <v>2.7023702909525067</v>
      </c>
      <c r="I21" s="14">
        <f>_xlfn.STDEV.P(I17:I19)</f>
        <v>0.97414590648545774</v>
      </c>
      <c r="N21" s="14">
        <f>_xlfn.STDEV.P(N17:N19)</f>
        <v>6.5258115220672845</v>
      </c>
    </row>
    <row r="24" spans="2:14" x14ac:dyDescent="0.2">
      <c r="C24" s="14" t="s">
        <v>50</v>
      </c>
    </row>
    <row r="26" spans="2:14" x14ac:dyDescent="0.2">
      <c r="C26" t="s">
        <v>22</v>
      </c>
      <c r="G26" t="s">
        <v>17</v>
      </c>
      <c r="L26" t="s">
        <v>18</v>
      </c>
    </row>
    <row r="27" spans="2:14" x14ac:dyDescent="0.2">
      <c r="C27" t="s">
        <v>21</v>
      </c>
      <c r="D27" t="s">
        <v>19</v>
      </c>
      <c r="E27" t="s">
        <v>20</v>
      </c>
      <c r="G27" t="s">
        <v>21</v>
      </c>
      <c r="H27" t="s">
        <v>19</v>
      </c>
      <c r="I27" t="s">
        <v>20</v>
      </c>
      <c r="L27" t="s">
        <v>21</v>
      </c>
      <c r="M27" t="s">
        <v>19</v>
      </c>
      <c r="N27" t="s">
        <v>20</v>
      </c>
    </row>
    <row r="28" spans="2:14" x14ac:dyDescent="0.2">
      <c r="B28" t="s">
        <v>29</v>
      </c>
      <c r="C28">
        <v>200</v>
      </c>
      <c r="D28">
        <v>0.64</v>
      </c>
      <c r="E28">
        <f>(D28/41199)*66430*C28</f>
        <v>206.38947547270564</v>
      </c>
      <c r="G28">
        <v>50</v>
      </c>
      <c r="H28">
        <v>0.374</v>
      </c>
      <c r="I28">
        <f>(H28/41199)*66430*G28</f>
        <v>30.152212432340587</v>
      </c>
      <c r="L28">
        <v>300</v>
      </c>
      <c r="M28">
        <v>0.86099999999999999</v>
      </c>
      <c r="N28">
        <f>(M28/41199)*66430*L28</f>
        <v>416.48751183281149</v>
      </c>
    </row>
    <row r="29" spans="2:14" x14ac:dyDescent="0.2">
      <c r="B29" t="s">
        <v>30</v>
      </c>
      <c r="C29">
        <v>200</v>
      </c>
      <c r="D29">
        <v>0.64900000000000002</v>
      </c>
      <c r="E29">
        <f>(D29/41199)*66430*C29</f>
        <v>209.29182747154056</v>
      </c>
      <c r="G29">
        <v>50</v>
      </c>
      <c r="H29">
        <v>0.378</v>
      </c>
      <c r="I29">
        <f>(H29/41199)*66430*G29</f>
        <v>30.474695987766694</v>
      </c>
      <c r="L29">
        <v>300</v>
      </c>
      <c r="M29">
        <v>0.874</v>
      </c>
      <c r="N29">
        <f>(M29/41199)*66430*L29</f>
        <v>422.77594116362047</v>
      </c>
    </row>
    <row r="30" spans="2:14" x14ac:dyDescent="0.2">
      <c r="B30" t="s">
        <v>31</v>
      </c>
      <c r="C30">
        <v>200</v>
      </c>
      <c r="D30">
        <v>0.66200000000000003</v>
      </c>
      <c r="E30">
        <f>(D30/41199)*66430*C30</f>
        <v>213.48411369207994</v>
      </c>
      <c r="G30">
        <v>50</v>
      </c>
      <c r="H30">
        <v>0.377</v>
      </c>
      <c r="I30">
        <f>(H30/41199)*66430*G30</f>
        <v>30.394075098910168</v>
      </c>
      <c r="L30">
        <v>300</v>
      </c>
      <c r="M30">
        <v>0.88800000000000001</v>
      </c>
      <c r="N30">
        <f>(M30/41199)*66430*L30</f>
        <v>429.5480958275686</v>
      </c>
    </row>
    <row r="31" spans="2:14" x14ac:dyDescent="0.2">
      <c r="E31" s="14">
        <f>AVERAGE(E28:E30)</f>
        <v>209.72180554544207</v>
      </c>
      <c r="I31" s="14">
        <f>AVERAGE(I28:I30)</f>
        <v>30.340327839672483</v>
      </c>
      <c r="N31" s="14">
        <f>AVERAGE(N28:N30)</f>
        <v>422.9371829413335</v>
      </c>
    </row>
    <row r="32" spans="2:14" x14ac:dyDescent="0.2">
      <c r="E32" s="14">
        <f>_xlfn.STDEV.P(E28:E30)</f>
        <v>2.9122881867446511</v>
      </c>
      <c r="I32" s="14">
        <f>_xlfn.STDEV.P(I28:I30)</f>
        <v>0.13702916182754177</v>
      </c>
      <c r="N32" s="14">
        <f>_xlfn.STDEV.P(N28:N30)</f>
        <v>5.3331799615980486</v>
      </c>
    </row>
    <row r="36" spans="2:14" x14ac:dyDescent="0.2">
      <c r="C36" s="14" t="s">
        <v>51</v>
      </c>
    </row>
    <row r="38" spans="2:14" x14ac:dyDescent="0.2">
      <c r="C38" s="14" t="s">
        <v>22</v>
      </c>
      <c r="G38" s="14" t="s">
        <v>17</v>
      </c>
      <c r="L38" s="14" t="s">
        <v>18</v>
      </c>
    </row>
    <row r="39" spans="2:14" x14ac:dyDescent="0.2">
      <c r="C39" t="s">
        <v>21</v>
      </c>
      <c r="D39" t="s">
        <v>19</v>
      </c>
      <c r="E39" t="s">
        <v>20</v>
      </c>
      <c r="G39" t="s">
        <v>21</v>
      </c>
      <c r="H39" t="s">
        <v>19</v>
      </c>
      <c r="I39" t="s">
        <v>20</v>
      </c>
      <c r="L39" t="s">
        <v>21</v>
      </c>
      <c r="M39" t="s">
        <v>19</v>
      </c>
      <c r="N39" t="s">
        <v>20</v>
      </c>
    </row>
    <row r="40" spans="2:14" x14ac:dyDescent="0.2">
      <c r="B40" t="s">
        <v>29</v>
      </c>
      <c r="C40">
        <v>200</v>
      </c>
      <c r="D40">
        <v>0.63800000000000001</v>
      </c>
      <c r="E40">
        <f>(D40/41199)*66430*C40</f>
        <v>205.74450836185346</v>
      </c>
      <c r="G40">
        <v>50</v>
      </c>
      <c r="H40">
        <v>0.66</v>
      </c>
      <c r="I40">
        <f>(H40/41199)*66430*G40</f>
        <v>53.20978664530692</v>
      </c>
      <c r="L40">
        <v>300</v>
      </c>
      <c r="M40">
        <v>0.78</v>
      </c>
      <c r="N40">
        <f>(M40/41199)*66430*L40</f>
        <v>377.30575984853999</v>
      </c>
    </row>
    <row r="41" spans="2:14" x14ac:dyDescent="0.2">
      <c r="B41" t="s">
        <v>30</v>
      </c>
      <c r="C41">
        <v>200</v>
      </c>
      <c r="D41">
        <v>0.64</v>
      </c>
      <c r="E41">
        <f>(D41/41199)*66430*C41</f>
        <v>206.38947547270564</v>
      </c>
      <c r="G41">
        <v>50</v>
      </c>
      <c r="H41">
        <v>0.71599999999999997</v>
      </c>
      <c r="I41">
        <f>(H41/41199)*66430*G41</f>
        <v>57.724556421272368</v>
      </c>
      <c r="L41">
        <v>300</v>
      </c>
      <c r="M41">
        <v>0.78700000000000003</v>
      </c>
      <c r="N41">
        <f>(M41/41199)*66430*L41</f>
        <v>380.69183718051409</v>
      </c>
    </row>
    <row r="42" spans="2:14" x14ac:dyDescent="0.2">
      <c r="B42" t="s">
        <v>31</v>
      </c>
      <c r="C42">
        <v>200</v>
      </c>
      <c r="D42">
        <v>0.64500000000000002</v>
      </c>
      <c r="E42">
        <f>(D42/41199)*66430*C42</f>
        <v>208.0018932498362</v>
      </c>
      <c r="G42">
        <v>50</v>
      </c>
      <c r="H42">
        <v>0.67500000000000004</v>
      </c>
      <c r="I42">
        <f>(H42/41199)*66430*G42</f>
        <v>54.419099978154819</v>
      </c>
      <c r="L42">
        <v>300</v>
      </c>
      <c r="M42">
        <v>0.748</v>
      </c>
      <c r="N42">
        <f>(M42/41199)*66430*L42</f>
        <v>361.82654918808703</v>
      </c>
    </row>
    <row r="43" spans="2:14" x14ac:dyDescent="0.2">
      <c r="E43" s="14">
        <f>AVERAGE(E40:E42)</f>
        <v>206.71195902813179</v>
      </c>
      <c r="I43" s="14">
        <f>AVERAGE(I40:I42)</f>
        <v>55.1178143482447</v>
      </c>
      <c r="N43" s="14">
        <f>AVERAGE(N40:N42)</f>
        <v>373.27471540571372</v>
      </c>
    </row>
    <row r="44" spans="2:14" x14ac:dyDescent="0.2">
      <c r="E44" s="14">
        <f>_xlfn.STDEV.P(E40:E42)</f>
        <v>0.94936588161551871</v>
      </c>
      <c r="I44" s="14">
        <f>_xlfn.STDEV.P(I40:I42)</f>
        <v>1.9082169444659332</v>
      </c>
      <c r="N44" s="14">
        <f>_xlfn.STDEV.P(N40:N42)</f>
        <v>8.2122575959896125</v>
      </c>
    </row>
    <row r="47" spans="2:14" x14ac:dyDescent="0.2">
      <c r="C47" s="14" t="s">
        <v>23</v>
      </c>
    </row>
    <row r="49" spans="2:14" x14ac:dyDescent="0.2">
      <c r="C49" t="s">
        <v>22</v>
      </c>
    </row>
    <row r="50" spans="2:14" x14ac:dyDescent="0.2">
      <c r="C50" t="s">
        <v>21</v>
      </c>
      <c r="D50" t="s">
        <v>19</v>
      </c>
      <c r="E50" t="s">
        <v>20</v>
      </c>
    </row>
    <row r="51" spans="2:14" x14ac:dyDescent="0.2">
      <c r="B51" t="s">
        <v>29</v>
      </c>
      <c r="C51">
        <v>200</v>
      </c>
      <c r="D51">
        <v>0.624</v>
      </c>
      <c r="E51">
        <f>(D51/41199)*66430*C51</f>
        <v>201.22973858588801</v>
      </c>
    </row>
    <row r="52" spans="2:14" x14ac:dyDescent="0.2">
      <c r="B52" t="s">
        <v>30</v>
      </c>
      <c r="C52">
        <v>200</v>
      </c>
      <c r="D52">
        <v>0.63700000000000001</v>
      </c>
      <c r="E52">
        <f>(D52/41199)*66430*C52</f>
        <v>205.42202480642734</v>
      </c>
    </row>
    <row r="53" spans="2:14" x14ac:dyDescent="0.2">
      <c r="B53" t="s">
        <v>31</v>
      </c>
      <c r="C53">
        <v>200</v>
      </c>
      <c r="D53">
        <v>0.64</v>
      </c>
      <c r="E53">
        <f>(D53/41199)*66430*C53</f>
        <v>206.38947547270564</v>
      </c>
    </row>
    <row r="54" spans="2:14" x14ac:dyDescent="0.2">
      <c r="E54" s="14">
        <f>AVERAGE(E51:E53)</f>
        <v>204.34707962167366</v>
      </c>
      <c r="I54" s="14"/>
      <c r="N54" s="14"/>
    </row>
    <row r="55" spans="2:14" x14ac:dyDescent="0.2">
      <c r="E55" s="14">
        <f>_xlfn.STDEV.P(E51:E53)</f>
        <v>2.2393974707445232</v>
      </c>
      <c r="I55" s="14"/>
      <c r="N55" s="14"/>
    </row>
    <row r="65" spans="9:14" x14ac:dyDescent="0.2">
      <c r="I65" s="14"/>
      <c r="N65" s="14"/>
    </row>
    <row r="66" spans="9:14" x14ac:dyDescent="0.2">
      <c r="I66" s="14"/>
      <c r="N66" s="1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3E4A-E851-4C11-94BC-525FDA26358A}">
  <dimension ref="C2:H23"/>
  <sheetViews>
    <sheetView workbookViewId="0">
      <selection activeCell="C5" sqref="C5:H23"/>
    </sheetView>
  </sheetViews>
  <sheetFormatPr baseColWidth="10" defaultColWidth="8.83203125" defaultRowHeight="15" x14ac:dyDescent="0.2"/>
  <cols>
    <col min="3" max="3" width="13.5" customWidth="1"/>
  </cols>
  <sheetData>
    <row r="2" spans="3:8" ht="16" x14ac:dyDescent="0.2">
      <c r="C2" s="1" t="s">
        <v>52</v>
      </c>
    </row>
    <row r="3" spans="3:8" x14ac:dyDescent="0.2">
      <c r="D3" s="14" t="s">
        <v>33</v>
      </c>
      <c r="E3" s="14"/>
      <c r="F3" s="14"/>
      <c r="G3" s="14" t="s">
        <v>34</v>
      </c>
      <c r="H3" s="14"/>
    </row>
    <row r="4" spans="3:8" x14ac:dyDescent="0.2">
      <c r="D4" s="14" t="s">
        <v>35</v>
      </c>
      <c r="E4" s="14" t="s">
        <v>36</v>
      </c>
      <c r="F4" s="14"/>
      <c r="G4" s="14" t="s">
        <v>35</v>
      </c>
      <c r="H4" s="14" t="s">
        <v>36</v>
      </c>
    </row>
    <row r="5" spans="3:8" x14ac:dyDescent="0.2">
      <c r="C5" t="s">
        <v>37</v>
      </c>
      <c r="D5">
        <v>225.73848879827176</v>
      </c>
      <c r="E5">
        <v>4.3105167875348576</v>
      </c>
      <c r="G5">
        <v>111.4723401074245</v>
      </c>
      <c r="H5">
        <v>2.0005840789423783</v>
      </c>
    </row>
    <row r="6" spans="3:8" x14ac:dyDescent="0.2">
      <c r="C6" t="s">
        <v>38</v>
      </c>
      <c r="D6">
        <v>214.88154243225972</v>
      </c>
      <c r="E6">
        <v>2.7023702909525067</v>
      </c>
      <c r="G6">
        <v>110.20807232556062</v>
      </c>
      <c r="H6">
        <v>2.5547648465151984</v>
      </c>
    </row>
    <row r="7" spans="3:8" x14ac:dyDescent="0.2">
      <c r="C7" t="s">
        <v>39</v>
      </c>
      <c r="D7">
        <v>209.72180554544207</v>
      </c>
      <c r="E7">
        <v>2.9122881867446511</v>
      </c>
      <c r="G7">
        <v>104.38896706568961</v>
      </c>
      <c r="H7">
        <v>2.6173651859633038</v>
      </c>
    </row>
    <row r="8" spans="3:8" x14ac:dyDescent="0.2">
      <c r="C8" t="s">
        <v>40</v>
      </c>
      <c r="D8">
        <v>206.71195902813179</v>
      </c>
      <c r="E8">
        <v>0.94936588161551871</v>
      </c>
      <c r="G8">
        <v>99.139209222165277</v>
      </c>
      <c r="H8">
        <v>2.2420643438513586</v>
      </c>
    </row>
    <row r="11" spans="3:8" x14ac:dyDescent="0.2">
      <c r="C11" t="s">
        <v>41</v>
      </c>
      <c r="D11">
        <v>11.15255629181938</v>
      </c>
      <c r="E11">
        <v>0.55984936768613103</v>
      </c>
      <c r="G11">
        <v>227.74578722003648</v>
      </c>
      <c r="H11">
        <v>2.2651338199858619</v>
      </c>
    </row>
    <row r="12" spans="3:8" x14ac:dyDescent="0.2">
      <c r="C12" t="s">
        <v>42</v>
      </c>
      <c r="D12">
        <v>19.187771547853103</v>
      </c>
      <c r="E12">
        <v>0.97414590648545774</v>
      </c>
      <c r="G12">
        <v>205.38746949627156</v>
      </c>
      <c r="H12">
        <v>1.7139499048796147</v>
      </c>
    </row>
    <row r="13" spans="3:8" x14ac:dyDescent="0.2">
      <c r="C13" t="s">
        <v>43</v>
      </c>
      <c r="D13">
        <v>30.340327839672483</v>
      </c>
      <c r="E13">
        <v>0.13702916182754177</v>
      </c>
      <c r="G13">
        <v>191.53901049393633</v>
      </c>
      <c r="H13">
        <v>1.9399311860149204</v>
      </c>
    </row>
    <row r="14" spans="3:8" x14ac:dyDescent="0.2">
      <c r="C14" t="s">
        <v>44</v>
      </c>
      <c r="D14">
        <v>55.1178143482447</v>
      </c>
      <c r="E14">
        <v>1.9082169444659332</v>
      </c>
      <c r="G14">
        <v>171.58450276752646</v>
      </c>
      <c r="H14">
        <v>1.9095596327834057</v>
      </c>
    </row>
    <row r="17" spans="3:8" x14ac:dyDescent="0.2">
      <c r="C17" t="s">
        <v>45</v>
      </c>
      <c r="D17">
        <v>472.92213403237946</v>
      </c>
      <c r="E17">
        <v>7.7630841435598779</v>
      </c>
      <c r="G17">
        <v>22.08530450768156</v>
      </c>
      <c r="H17">
        <v>0.96430129735074899</v>
      </c>
    </row>
    <row r="18" spans="3:8" x14ac:dyDescent="0.2">
      <c r="C18" t="s">
        <v>46</v>
      </c>
      <c r="D18">
        <v>455.18553848394373</v>
      </c>
      <c r="E18">
        <v>6.5258115220672845</v>
      </c>
      <c r="G18">
        <v>26.863075322431616</v>
      </c>
      <c r="H18">
        <v>0.9351255090129551</v>
      </c>
    </row>
    <row r="19" spans="3:8" x14ac:dyDescent="0.2">
      <c r="C19" t="s">
        <v>47</v>
      </c>
      <c r="D19">
        <v>422.9371829413335</v>
      </c>
      <c r="E19">
        <v>5.3331799615980486</v>
      </c>
      <c r="G19">
        <v>32.159479593593275</v>
      </c>
      <c r="H19">
        <v>1.2347427694748734</v>
      </c>
    </row>
    <row r="20" spans="3:8" x14ac:dyDescent="0.2">
      <c r="C20" t="s">
        <v>48</v>
      </c>
      <c r="D20">
        <v>373.27471540571372</v>
      </c>
      <c r="E20">
        <v>8.2122575959896125</v>
      </c>
      <c r="G20">
        <v>41.640369568162832</v>
      </c>
      <c r="H20">
        <v>2.2069548233737932</v>
      </c>
    </row>
    <row r="23" spans="3:8" x14ac:dyDescent="0.2">
      <c r="C23" t="s">
        <v>16</v>
      </c>
      <c r="D23">
        <v>204.34707962167366</v>
      </c>
      <c r="E23">
        <v>2.2393974707445232</v>
      </c>
      <c r="G23">
        <v>98.666666666666671</v>
      </c>
      <c r="H23">
        <v>0.57735026918962573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3CDB-5FBE-6B4C-B367-5C6AA474F91E}">
  <dimension ref="A1:P4"/>
  <sheetViews>
    <sheetView tabSelected="1" workbookViewId="0">
      <selection activeCell="O18" sqref="O18"/>
    </sheetView>
  </sheetViews>
  <sheetFormatPr baseColWidth="10" defaultRowHeight="15" x14ac:dyDescent="0.2"/>
  <sheetData>
    <row r="1" spans="1:16" x14ac:dyDescent="0.2">
      <c r="A1" s="20">
        <v>225.73848879827176</v>
      </c>
      <c r="B1" s="20">
        <v>4.3105167875348576</v>
      </c>
      <c r="C1" s="20">
        <v>11.15255629181938</v>
      </c>
      <c r="D1" s="20">
        <v>0.55984936768613103</v>
      </c>
      <c r="E1" s="20">
        <v>472.92213403237946</v>
      </c>
      <c r="F1" s="20">
        <v>7.7630841435598779</v>
      </c>
      <c r="G1" s="20">
        <v>111.4723401074245</v>
      </c>
      <c r="H1" s="20">
        <v>2.0005840789423783</v>
      </c>
      <c r="I1" s="20">
        <v>227.74578722003648</v>
      </c>
      <c r="J1" s="20">
        <v>2.2651338199858619</v>
      </c>
      <c r="K1" s="20">
        <v>22.08530450768156</v>
      </c>
      <c r="L1" s="20">
        <v>0.96430129735074899</v>
      </c>
      <c r="M1" s="20">
        <v>204.34707962167366</v>
      </c>
      <c r="N1" s="20">
        <v>2.2393974707445232</v>
      </c>
      <c r="O1" s="20">
        <v>98.666666666666671</v>
      </c>
      <c r="P1" s="20">
        <v>0.57735026918962573</v>
      </c>
    </row>
    <row r="2" spans="1:16" x14ac:dyDescent="0.2">
      <c r="A2" s="20">
        <v>214.88154243225972</v>
      </c>
      <c r="B2" s="20">
        <v>2.7023702909525067</v>
      </c>
      <c r="C2" s="20">
        <v>19.187771547853103</v>
      </c>
      <c r="D2" s="20">
        <v>0.97414590648545774</v>
      </c>
      <c r="E2" s="20">
        <v>455.18553848394373</v>
      </c>
      <c r="F2" s="20">
        <v>6.5258115220672845</v>
      </c>
      <c r="G2" s="20">
        <v>110.20807232556062</v>
      </c>
      <c r="H2" s="20">
        <v>2.5547648465151984</v>
      </c>
      <c r="I2" s="20">
        <v>205.38746949627156</v>
      </c>
      <c r="J2" s="20">
        <v>1.7139499048796147</v>
      </c>
      <c r="K2" s="20">
        <v>26.863075322431616</v>
      </c>
      <c r="L2" s="20">
        <v>0.9351255090129551</v>
      </c>
      <c r="M2" s="20">
        <v>0</v>
      </c>
      <c r="N2" s="20">
        <v>0</v>
      </c>
      <c r="O2" s="20">
        <v>0</v>
      </c>
      <c r="P2" s="20">
        <v>0</v>
      </c>
    </row>
    <row r="3" spans="1:16" x14ac:dyDescent="0.2">
      <c r="A3" s="20">
        <v>209.72180554544207</v>
      </c>
      <c r="B3" s="20">
        <v>2.9122881867446511</v>
      </c>
      <c r="C3" s="20">
        <v>30.340327839672483</v>
      </c>
      <c r="D3" s="20">
        <v>0.13702916182754177</v>
      </c>
      <c r="E3" s="20">
        <v>422.9371829413335</v>
      </c>
      <c r="F3" s="20">
        <v>5.3331799615980486</v>
      </c>
      <c r="G3" s="20">
        <v>104.38896706568961</v>
      </c>
      <c r="H3" s="20">
        <v>2.6173651859633038</v>
      </c>
      <c r="I3" s="20">
        <v>191.53901049393633</v>
      </c>
      <c r="J3" s="20">
        <v>1.9399311860149204</v>
      </c>
      <c r="K3" s="20">
        <v>32.159479593593275</v>
      </c>
      <c r="L3" s="20">
        <v>1.2347427694748734</v>
      </c>
      <c r="M3" s="20">
        <v>0</v>
      </c>
      <c r="N3" s="20">
        <v>0</v>
      </c>
      <c r="O3" s="20">
        <v>0</v>
      </c>
      <c r="P3" s="20">
        <v>0</v>
      </c>
    </row>
    <row r="4" spans="1:16" x14ac:dyDescent="0.2">
      <c r="A4" s="20">
        <v>206.71195902813179</v>
      </c>
      <c r="B4" s="20">
        <v>0.94936588161551871</v>
      </c>
      <c r="C4" s="20">
        <v>55.1178143482447</v>
      </c>
      <c r="D4" s="20">
        <v>1.9082169444659332</v>
      </c>
      <c r="E4" s="20">
        <v>373.27471540571372</v>
      </c>
      <c r="F4" s="20">
        <v>8.2122575959896125</v>
      </c>
      <c r="G4" s="20">
        <v>99.139209222165277</v>
      </c>
      <c r="H4" s="20">
        <v>2.2420643438513586</v>
      </c>
      <c r="I4" s="20">
        <v>171.58450276752646</v>
      </c>
      <c r="J4" s="20">
        <v>1.9095596327834057</v>
      </c>
      <c r="K4" s="20">
        <v>41.640369568162832</v>
      </c>
      <c r="L4" s="20">
        <v>2.2069548233737932</v>
      </c>
      <c r="M4" s="20">
        <v>0</v>
      </c>
      <c r="N4" s="20">
        <v>0</v>
      </c>
      <c r="O4" s="20">
        <v>0</v>
      </c>
      <c r="P4" s="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R1-PEG Conc</vt:lpstr>
      <vt:lpstr>R2-PEG Conc</vt:lpstr>
      <vt:lpstr>R3-PEG Conc</vt:lpstr>
      <vt:lpstr>BSA conc (3 replicates)</vt:lpstr>
      <vt:lpstr>Average and SD</vt:lpstr>
      <vt:lpstr>New_PEG-4K pH- 7, 200 mM Salt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Aleksander Rebane</cp:lastModifiedBy>
  <dcterms:created xsi:type="dcterms:W3CDTF">2024-10-23T08:12:58Z</dcterms:created>
  <dcterms:modified xsi:type="dcterms:W3CDTF">2026-05-06T02:53:00Z</dcterms:modified>
</cp:coreProperties>
</file>